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onitoring-alat-berat\"/>
    </mc:Choice>
  </mc:AlternateContent>
  <xr:revisionPtr revIDLastSave="0" documentId="13_ncr:1_{0B243D47-DB11-4FDD-891D-FA672FBCC5B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A" sheetId="1" r:id="rId1"/>
    <sheet name="Sheet1" sheetId="2" r:id="rId2"/>
  </sheets>
  <definedNames>
    <definedName name="_xlnm._FilterDatabase" localSheetId="0" hidden="1">COA!$A$1:$E$140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1" i="2" l="1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141" i="2"/>
  <c r="D140" i="2"/>
  <c r="D139" i="2"/>
  <c r="D138" i="2"/>
  <c r="D137" i="2"/>
  <c r="D136" i="2"/>
  <c r="D135" i="2"/>
  <c r="D133" i="2"/>
  <c r="D132" i="2"/>
  <c r="D131" i="2"/>
  <c r="D130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8" i="2"/>
  <c r="D67" i="2"/>
  <c r="D66" i="2"/>
  <c r="D65" i="2"/>
  <c r="D63" i="2"/>
  <c r="D62" i="2"/>
  <c r="D61" i="2"/>
  <c r="D60" i="2"/>
  <c r="D58" i="2"/>
  <c r="D57" i="2"/>
  <c r="D56" i="2"/>
  <c r="D55" i="2"/>
  <c r="D54" i="2"/>
  <c r="D53" i="2"/>
  <c r="D52" i="2"/>
  <c r="D51" i="2"/>
  <c r="D50" i="2"/>
  <c r="D49" i="2"/>
  <c r="D48" i="2"/>
  <c r="D59" i="2"/>
  <c r="D46" i="2"/>
  <c r="D24" i="2"/>
  <c r="D4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5" i="2"/>
  <c r="A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H140" i="1"/>
  <c r="H45" i="1"/>
  <c r="H139" i="1"/>
  <c r="H138" i="1"/>
  <c r="H137" i="1"/>
  <c r="H136" i="1"/>
  <c r="H135" i="1"/>
  <c r="H134" i="1"/>
  <c r="H132" i="1"/>
  <c r="H131" i="1"/>
  <c r="H130" i="1"/>
  <c r="H129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7" i="1"/>
  <c r="H66" i="1"/>
  <c r="H65" i="1"/>
  <c r="H64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E140" i="1"/>
  <c r="E139" i="1"/>
  <c r="E138" i="1"/>
  <c r="E137" i="1"/>
  <c r="E136" i="1"/>
  <c r="E135" i="1"/>
  <c r="E134" i="1"/>
  <c r="E132" i="1"/>
  <c r="E131" i="1"/>
  <c r="E130" i="1"/>
  <c r="E129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5" i="1"/>
  <c r="E66" i="1"/>
  <c r="E67" i="1"/>
  <c r="E64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3" i="1"/>
  <c r="E42" i="1"/>
  <c r="E41" i="1"/>
  <c r="E40" i="1"/>
  <c r="E39" i="1"/>
  <c r="E38" i="1"/>
  <c r="E37" i="1"/>
  <c r="E35" i="1"/>
  <c r="E34" i="1"/>
  <c r="E33" i="1"/>
  <c r="E32" i="1"/>
  <c r="E31" i="1"/>
  <c r="E30" i="1"/>
  <c r="E29" i="1"/>
  <c r="E28" i="1"/>
  <c r="E27" i="1"/>
  <c r="E26" i="1"/>
  <c r="E25" i="1"/>
  <c r="E24" i="1"/>
  <c r="E36" i="1"/>
  <c r="E23" i="1"/>
  <c r="E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33" i="2" l="1"/>
  <c r="D32" i="2"/>
  <c r="D31" i="2"/>
  <c r="D30" i="2"/>
  <c r="D29" i="2"/>
  <c r="D28" i="2"/>
  <c r="D27" i="2"/>
  <c r="D26" i="2"/>
  <c r="D25" i="2"/>
  <c r="D36" i="2"/>
  <c r="D35" i="2"/>
  <c r="D34" i="2"/>
  <c r="D44" i="2" l="1"/>
  <c r="D43" i="2"/>
  <c r="D42" i="2"/>
  <c r="D41" i="2"/>
  <c r="D40" i="2"/>
  <c r="D39" i="2"/>
  <c r="D38" i="2"/>
  <c r="D47" i="2" l="1"/>
</calcChain>
</file>

<file path=xl/sharedStrings.xml><?xml version="1.0" encoding="utf-8"?>
<sst xmlns="http://schemas.openxmlformats.org/spreadsheetml/2006/main" count="575" uniqueCount="289">
  <si>
    <t>Main Code</t>
  </si>
  <si>
    <t>Sub Code</t>
  </si>
  <si>
    <t>Account Name</t>
  </si>
  <si>
    <t>Remarks</t>
  </si>
  <si>
    <t>1000</t>
  </si>
  <si>
    <t>ASSETS</t>
  </si>
  <si>
    <t>1100</t>
  </si>
  <si>
    <t>Current Assets</t>
  </si>
  <si>
    <t>1101</t>
  </si>
  <si>
    <t>Kas Kecil Site</t>
  </si>
  <si>
    <t>1102</t>
  </si>
  <si>
    <t>Kas Kecil Head Office</t>
  </si>
  <si>
    <t>1103</t>
  </si>
  <si>
    <t>Bank Mandiri</t>
  </si>
  <si>
    <t>1104</t>
  </si>
  <si>
    <t>Bank BNI</t>
  </si>
  <si>
    <t>1105</t>
  </si>
  <si>
    <t>Bank BCA</t>
  </si>
  <si>
    <t>1106</t>
  </si>
  <si>
    <t>Piutang Usaha</t>
  </si>
  <si>
    <t>1107</t>
  </si>
  <si>
    <t>Piutang Karyawan</t>
  </si>
  <si>
    <t>1108</t>
  </si>
  <si>
    <t>Piutang Lain-lain</t>
  </si>
  <si>
    <t>1109</t>
  </si>
  <si>
    <t>Persediaan Solar</t>
  </si>
  <si>
    <t>1110</t>
  </si>
  <si>
    <t>Persediaan Oli &amp; Grease</t>
  </si>
  <si>
    <t>1111</t>
  </si>
  <si>
    <t>Persediaan Sparepart</t>
  </si>
  <si>
    <t>1112</t>
  </si>
  <si>
    <t>Persediaan Ban</t>
  </si>
  <si>
    <t>1113</t>
  </si>
  <si>
    <t>Uang Muka Supplier</t>
  </si>
  <si>
    <t>1114</t>
  </si>
  <si>
    <t>Uang Muka Pembelian Alat</t>
  </si>
  <si>
    <t>1115</t>
  </si>
  <si>
    <t>Biaya Dibayar Dimuka</t>
  </si>
  <si>
    <t>1116</t>
  </si>
  <si>
    <t>PPN Masukan</t>
  </si>
  <si>
    <t>1117</t>
  </si>
  <si>
    <t>Pajak Dibayar Dimuka</t>
  </si>
  <si>
    <t>1118</t>
  </si>
  <si>
    <t>Deposito</t>
  </si>
  <si>
    <t>1200</t>
  </si>
  <si>
    <t>Fixed Assets</t>
  </si>
  <si>
    <t>1201</t>
  </si>
  <si>
    <t>Excavator</t>
  </si>
  <si>
    <t>1202</t>
  </si>
  <si>
    <t>Bulldozer</t>
  </si>
  <si>
    <t>1203</t>
  </si>
  <si>
    <t>Dump Truck</t>
  </si>
  <si>
    <t>1204</t>
  </si>
  <si>
    <t>Wheel Loader</t>
  </si>
  <si>
    <t>1205</t>
  </si>
  <si>
    <t>Motor Grader</t>
  </si>
  <si>
    <t>1206</t>
  </si>
  <si>
    <t>Vibro Roller</t>
  </si>
  <si>
    <t>1207</t>
  </si>
  <si>
    <t>Water Truck</t>
  </si>
  <si>
    <t>1208</t>
  </si>
  <si>
    <t>Low Bed Trailer</t>
  </si>
  <si>
    <t>1209</t>
  </si>
  <si>
    <t>Kendaraan Operasional</t>
  </si>
  <si>
    <t>1210</t>
  </si>
  <si>
    <t>Bangunan</t>
  </si>
  <si>
    <t>1211</t>
  </si>
  <si>
    <t>Peralatan Kantor</t>
  </si>
  <si>
    <t>1212</t>
  </si>
  <si>
    <t>Inventaris Kantor</t>
  </si>
  <si>
    <t>1300</t>
  </si>
  <si>
    <t>Accumulated Depreciation</t>
  </si>
  <si>
    <t>1301</t>
  </si>
  <si>
    <t>Akumulasi Penyusutan Excavator</t>
  </si>
  <si>
    <t>1302</t>
  </si>
  <si>
    <t>Akumulasi Penyusutan Bulldozer</t>
  </si>
  <si>
    <t>1303</t>
  </si>
  <si>
    <t>Akumulasi Penyusutan Dump Truck</t>
  </si>
  <si>
    <t>1304</t>
  </si>
  <si>
    <t>Akumulasi Penyusutan Wheel Loader</t>
  </si>
  <si>
    <t>1305</t>
  </si>
  <si>
    <t>Akumulasi Penyusutan Kendaraan</t>
  </si>
  <si>
    <t>1306</t>
  </si>
  <si>
    <t>Akumulasi Penyusutan Bangunan</t>
  </si>
  <si>
    <t>1307</t>
  </si>
  <si>
    <t>Akumulasi Penyusutan Inventaris</t>
  </si>
  <si>
    <t>2000</t>
  </si>
  <si>
    <t>LIABILITIES</t>
  </si>
  <si>
    <t>2100</t>
  </si>
  <si>
    <t>Current Liabilities</t>
  </si>
  <si>
    <t>2101</t>
  </si>
  <si>
    <t>Hutang Usaha</t>
  </si>
  <si>
    <t>2102</t>
  </si>
  <si>
    <t>Hutang Solar</t>
  </si>
  <si>
    <t>2103</t>
  </si>
  <si>
    <t>Hutang Sparepart</t>
  </si>
  <si>
    <t>2104</t>
  </si>
  <si>
    <t>Hutang Gaji</t>
  </si>
  <si>
    <t>2105</t>
  </si>
  <si>
    <t>Hutang BPJS</t>
  </si>
  <si>
    <t>2106</t>
  </si>
  <si>
    <t>Hutang PPN</t>
  </si>
  <si>
    <t>2107</t>
  </si>
  <si>
    <t>Hutang PPh 21</t>
  </si>
  <si>
    <t>2108</t>
  </si>
  <si>
    <t>Hutang PPh 23</t>
  </si>
  <si>
    <t>2109</t>
  </si>
  <si>
    <t>Hutang PPh 4(2)</t>
  </si>
  <si>
    <t>2110</t>
  </si>
  <si>
    <t>Hutang Pajak Lainnya</t>
  </si>
  <si>
    <t>2111</t>
  </si>
  <si>
    <t>Biaya Masih Harus Dibayar</t>
  </si>
  <si>
    <t>2200</t>
  </si>
  <si>
    <t>Long-term Liabilities</t>
  </si>
  <si>
    <t>2201</t>
  </si>
  <si>
    <t>Hutang Leasing Alat Berat</t>
  </si>
  <si>
    <t>2202</t>
  </si>
  <si>
    <t>Hutang Leasing Dump Truck</t>
  </si>
  <si>
    <t>2203</t>
  </si>
  <si>
    <t>Hutang Bank</t>
  </si>
  <si>
    <t>2204</t>
  </si>
  <si>
    <t>Hutang Jangka Panjang Lainnya</t>
  </si>
  <si>
    <t>3000</t>
  </si>
  <si>
    <t>EQUITY</t>
  </si>
  <si>
    <t>3101</t>
  </si>
  <si>
    <t>Modal Disetor</t>
  </si>
  <si>
    <t>3102</t>
  </si>
  <si>
    <t>Tambahan Modal</t>
  </si>
  <si>
    <t>3103</t>
  </si>
  <si>
    <t>Saldo Laba Ditahan</t>
  </si>
  <si>
    <t>3104</t>
  </si>
  <si>
    <t>Laba Tahun Berjalan</t>
  </si>
  <si>
    <t>4000</t>
  </si>
  <si>
    <t>REVENUE</t>
  </si>
  <si>
    <t>4101</t>
  </si>
  <si>
    <t>Pendapatan Sewa Excavator</t>
  </si>
  <si>
    <t>4102</t>
  </si>
  <si>
    <t>Pendapatan Sewa Bulldozer</t>
  </si>
  <si>
    <t>4103</t>
  </si>
  <si>
    <t>Pendapatan Sewa Dump Truck</t>
  </si>
  <si>
    <t>4104</t>
  </si>
  <si>
    <t>Pendapatan Sewa Wheel Loader</t>
  </si>
  <si>
    <t>4105</t>
  </si>
  <si>
    <t>Pendapatan Sewa Motor Grader</t>
  </si>
  <si>
    <t>4106</t>
  </si>
  <si>
    <t>Pendapatan Mobilisasi</t>
  </si>
  <si>
    <t>4107</t>
  </si>
  <si>
    <t>Pendapatan Demobilisasi</t>
  </si>
  <si>
    <t>4108</t>
  </si>
  <si>
    <t>Pendapatan Jasa Operator</t>
  </si>
  <si>
    <t>4201</t>
  </si>
  <si>
    <t>Penjualan Tanah OB</t>
  </si>
  <si>
    <t>4202</t>
  </si>
  <si>
    <t>Penjualan Kayu Tebangan</t>
  </si>
  <si>
    <t>4203</t>
  </si>
  <si>
    <t>Penjualan Scrap</t>
  </si>
  <si>
    <t>4204</t>
  </si>
  <si>
    <t>Penjualan Sparepart Bekas</t>
  </si>
  <si>
    <t>4205</t>
  </si>
  <si>
    <t>Penjualan Aset</t>
  </si>
  <si>
    <t>4206</t>
  </si>
  <si>
    <t>Pendapatan Lain-lain</t>
  </si>
  <si>
    <t>5000</t>
  </si>
  <si>
    <t>DIRECT COST</t>
  </si>
  <si>
    <t>5101</t>
  </si>
  <si>
    <t>Solar Excavator</t>
  </si>
  <si>
    <t>5102</t>
  </si>
  <si>
    <t>Solar Bulldozer</t>
  </si>
  <si>
    <t>5103</t>
  </si>
  <si>
    <t>Solar Dump Truck</t>
  </si>
  <si>
    <t>5104</t>
  </si>
  <si>
    <t>Oli &amp; Grease</t>
  </si>
  <si>
    <t>5105</t>
  </si>
  <si>
    <t>Sparepart</t>
  </si>
  <si>
    <t>5106</t>
  </si>
  <si>
    <t>Ban</t>
  </si>
  <si>
    <t>5107</t>
  </si>
  <si>
    <t>Maintenance</t>
  </si>
  <si>
    <t>5108</t>
  </si>
  <si>
    <t>Sewa Alat Pendukung</t>
  </si>
  <si>
    <t>5109</t>
  </si>
  <si>
    <t>Biaya Leasing Alat</t>
  </si>
  <si>
    <t>5110</t>
  </si>
  <si>
    <t>Penyusutan Excavator</t>
  </si>
  <si>
    <t>5111</t>
  </si>
  <si>
    <t>Penyusutan Bulldozer</t>
  </si>
  <si>
    <t>5112</t>
  </si>
  <si>
    <t>Penyusutan Dump Truck</t>
  </si>
  <si>
    <t>5113</t>
  </si>
  <si>
    <t>Penyusutan Wheel Loader</t>
  </si>
  <si>
    <t>5114</t>
  </si>
  <si>
    <t>Mobilisasi</t>
  </si>
  <si>
    <t>5115</t>
  </si>
  <si>
    <t>Demobilisasi</t>
  </si>
  <si>
    <t>5116</t>
  </si>
  <si>
    <t>Gaji Operator</t>
  </si>
  <si>
    <t>5117</t>
  </si>
  <si>
    <t>Uang Makan Operator</t>
  </si>
  <si>
    <t>5118</t>
  </si>
  <si>
    <t>Lembur Operator</t>
  </si>
  <si>
    <t>5119</t>
  </si>
  <si>
    <t>Jasa Bengkel</t>
  </si>
  <si>
    <t>5120</t>
  </si>
  <si>
    <t>Asuransi Alat</t>
  </si>
  <si>
    <t>6000</t>
  </si>
  <si>
    <t>OPERATING EXPENSE</t>
  </si>
  <si>
    <t>6101</t>
  </si>
  <si>
    <t>Gaji Staff</t>
  </si>
  <si>
    <t>6102</t>
  </si>
  <si>
    <t>Gaji Direksi</t>
  </si>
  <si>
    <t>6103</t>
  </si>
  <si>
    <t>BPJS</t>
  </si>
  <si>
    <t>6104</t>
  </si>
  <si>
    <t>ATK</t>
  </si>
  <si>
    <t>6105</t>
  </si>
  <si>
    <t>Internet</t>
  </si>
  <si>
    <t>6106</t>
  </si>
  <si>
    <t>Telepon</t>
  </si>
  <si>
    <t>6107</t>
  </si>
  <si>
    <t>Listrik</t>
  </si>
  <si>
    <t>6108</t>
  </si>
  <si>
    <t>Air</t>
  </si>
  <si>
    <t>6109</t>
  </si>
  <si>
    <t>Sewa Kantor</t>
  </si>
  <si>
    <t>6110</t>
  </si>
  <si>
    <t>Penyusutan Kendaraan Kantor</t>
  </si>
  <si>
    <t>6111</t>
  </si>
  <si>
    <t>Penyusutan Inventaris</t>
  </si>
  <si>
    <t>6112</t>
  </si>
  <si>
    <t>BBM Kendaraan Kantor</t>
  </si>
  <si>
    <t>6113</t>
  </si>
  <si>
    <t>Perjalanan Dinas</t>
  </si>
  <si>
    <t>6114</t>
  </si>
  <si>
    <t>Jamuan &amp; Entertainment</t>
  </si>
  <si>
    <t>6115</t>
  </si>
  <si>
    <t>Marketing</t>
  </si>
  <si>
    <t>6116</t>
  </si>
  <si>
    <t>Legal</t>
  </si>
  <si>
    <t>6117</t>
  </si>
  <si>
    <t>Audit</t>
  </si>
  <si>
    <t>6118</t>
  </si>
  <si>
    <t>Konsultan Pajak</t>
  </si>
  <si>
    <t>6119</t>
  </si>
  <si>
    <t>Perizinan</t>
  </si>
  <si>
    <t>6120</t>
  </si>
  <si>
    <t>Training</t>
  </si>
  <si>
    <t>6121</t>
  </si>
  <si>
    <t>Asuransi Kantor</t>
  </si>
  <si>
    <t>6122</t>
  </si>
  <si>
    <t>Biaya Bank</t>
  </si>
  <si>
    <t>6123</t>
  </si>
  <si>
    <t>Administrasi Bank</t>
  </si>
  <si>
    <t>7000</t>
  </si>
  <si>
    <t>OTHER INCOME</t>
  </si>
  <si>
    <t>7101</t>
  </si>
  <si>
    <t>Pendapatan Bunga</t>
  </si>
  <si>
    <t>7102</t>
  </si>
  <si>
    <t>Keuntungan Selisih Kurs</t>
  </si>
  <si>
    <t>7103</t>
  </si>
  <si>
    <t>Keuntungan Penjualan Aset</t>
  </si>
  <si>
    <t>7104</t>
  </si>
  <si>
    <t>8000</t>
  </si>
  <si>
    <t>OTHER EXPENSE</t>
  </si>
  <si>
    <t>8101</t>
  </si>
  <si>
    <t>Beban Bunga Leasing</t>
  </si>
  <si>
    <t>8102</t>
  </si>
  <si>
    <t>Beban Bunga Bank</t>
  </si>
  <si>
    <t>8103</t>
  </si>
  <si>
    <t>Kerugian Selisih Kurs</t>
  </si>
  <si>
    <t>8104</t>
  </si>
  <si>
    <t>Kerugian Penjualan Aset</t>
  </si>
  <si>
    <t>8105</t>
  </si>
  <si>
    <t>Denda Pajak</t>
  </si>
  <si>
    <t>8106</t>
  </si>
  <si>
    <t>Sanksi Administrasi</t>
  </si>
  <si>
    <t>8107</t>
  </si>
  <si>
    <t>Beban Lain-lain</t>
  </si>
  <si>
    <t>1119</t>
  </si>
  <si>
    <t>Aktiva Pajak Tangguhan</t>
  </si>
  <si>
    <t>2112</t>
  </si>
  <si>
    <t>Kewajiban Pajak Tangguhan</t>
  </si>
  <si>
    <t>Parent</t>
  </si>
  <si>
    <t>Posting Level</t>
  </si>
  <si>
    <t>id</t>
  </si>
  <si>
    <t>account_number</t>
  </si>
  <si>
    <t>account_description</t>
  </si>
  <si>
    <t>level</t>
  </si>
  <si>
    <t>parent_id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</si>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</sst>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i/>
      <sz val="14"/>
      <color theme="1"/>
      <name val="Calibri (Body)"/>
    </font>
    <font>
      <b/>
      <sz val="11"/>
      <color theme="1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workbookViewId="0">
      <selection activeCell="H7" sqref="H7"/>
    </sheetView>
  </sheetViews>
  <sheetFormatPr defaultColWidth="8.81640625" defaultRowHeight="17.5"/>
  <cols>
    <col min="1" max="1" width="8.81640625" style="2"/>
    <col min="2" max="3" width="3.36328125" style="2" customWidth="1"/>
    <col min="4" max="4" width="39.36328125" style="2" customWidth="1"/>
    <col min="5" max="5" width="8.81640625" style="2"/>
    <col min="6" max="6" width="9.1796875" style="2" bestFit="1" customWidth="1"/>
    <col min="7" max="16384" width="8.81640625" style="2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2" t="s">
        <v>281</v>
      </c>
      <c r="F1" s="2" t="s">
        <v>282</v>
      </c>
    </row>
    <row r="2" spans="1:8" ht="18">
      <c r="A2" s="1" t="s">
        <v>4</v>
      </c>
      <c r="B2" s="1" t="s">
        <v>5</v>
      </c>
      <c r="D2" s="1"/>
    </row>
    <row r="3" spans="1:8">
      <c r="A3" s="2" t="s">
        <v>6</v>
      </c>
      <c r="C3" s="3" t="s">
        <v>7</v>
      </c>
      <c r="E3" s="2" t="str">
        <f>$A$2</f>
        <v>1000</v>
      </c>
      <c r="F3" s="2" t="b">
        <v>0</v>
      </c>
    </row>
    <row r="4" spans="1:8">
      <c r="A4" s="2" t="s">
        <v>8</v>
      </c>
      <c r="D4" s="2" t="s">
        <v>9</v>
      </c>
      <c r="E4" s="2" t="str">
        <f>$A$3</f>
        <v>1100</v>
      </c>
      <c r="F4" s="2" t="b">
        <v>1</v>
      </c>
    </row>
    <row r="5" spans="1:8">
      <c r="A5" s="2" t="s">
        <v>10</v>
      </c>
      <c r="D5" s="2" t="s">
        <v>11</v>
      </c>
      <c r="E5" s="2" t="str">
        <f t="shared" ref="E5:E22" si="0">$A$3</f>
        <v>1100</v>
      </c>
      <c r="F5" s="2" t="b">
        <v>1</v>
      </c>
    </row>
    <row r="6" spans="1:8">
      <c r="A6" s="2" t="s">
        <v>12</v>
      </c>
      <c r="D6" s="2" t="s">
        <v>13</v>
      </c>
      <c r="E6" s="2" t="str">
        <f t="shared" si="0"/>
        <v>1100</v>
      </c>
      <c r="F6" s="2" t="b">
        <v>1</v>
      </c>
    </row>
    <row r="7" spans="1:8">
      <c r="A7" s="2" t="s">
        <v>14</v>
      </c>
      <c r="D7" s="2" t="s">
        <v>15</v>
      </c>
      <c r="E7" s="2" t="str">
        <f t="shared" si="0"/>
        <v>1100</v>
      </c>
      <c r="F7" s="2" t="b">
        <v>1</v>
      </c>
      <c r="H7" s="5" t="str">
        <f>"INSERT INTO `monitoring_alat_berat`.`accounts` (`account_number`, `account_description`, `parent_id`, `level`) VALUES ('"&amp;A7&amp;"', '"&amp;D7&amp;"', 1, 2);"</f>
        <v>INSERT INTO `monitoring_alat_berat`.`accounts` (`account_number`, `account_description`, `parent_id`, `level`) VALUES ('1104', 'Bank BNI', 1, 2);</v>
      </c>
    </row>
    <row r="8" spans="1:8">
      <c r="A8" s="2" t="s">
        <v>16</v>
      </c>
      <c r="D8" s="2" t="s">
        <v>17</v>
      </c>
      <c r="E8" s="2" t="str">
        <f t="shared" si="0"/>
        <v>1100</v>
      </c>
      <c r="F8" s="2" t="b">
        <v>1</v>
      </c>
      <c r="H8" s="5" t="str">
        <f t="shared" ref="H8:H43" si="1">"INSERT INTO `monitoring_alat_berat`.`accounts` (`account_number`, `account_description`, `parent_id`, `level`) VALUES ('"&amp;A8&amp;"', '"&amp;D8&amp;"', 1, 2);"</f>
        <v>INSERT INTO `monitoring_alat_berat`.`accounts` (`account_number`, `account_description`, `parent_id`, `level`) VALUES ('1105', 'Bank BCA', 1, 2);</v>
      </c>
    </row>
    <row r="9" spans="1:8">
      <c r="A9" s="2" t="s">
        <v>18</v>
      </c>
      <c r="D9" s="2" t="s">
        <v>19</v>
      </c>
      <c r="E9" s="2" t="str">
        <f t="shared" si="0"/>
        <v>1100</v>
      </c>
      <c r="F9" s="2" t="b">
        <v>1</v>
      </c>
      <c r="H9" s="5" t="str">
        <f t="shared" si="1"/>
        <v>INSERT INTO `monitoring_alat_berat`.`accounts` (`account_number`, `account_description`, `parent_id`, `level`) VALUES ('1106', 'Piutang Usaha', 1, 2);</v>
      </c>
    </row>
    <row r="10" spans="1:8">
      <c r="A10" s="2" t="s">
        <v>20</v>
      </c>
      <c r="D10" s="2" t="s">
        <v>21</v>
      </c>
      <c r="E10" s="2" t="str">
        <f t="shared" si="0"/>
        <v>1100</v>
      </c>
      <c r="F10" s="2" t="b">
        <v>1</v>
      </c>
      <c r="H10" s="5" t="str">
        <f t="shared" si="1"/>
        <v>INSERT INTO `monitoring_alat_berat`.`accounts` (`account_number`, `account_description`, `parent_id`, `level`) VALUES ('1107', 'Piutang Karyawan', 1, 2);</v>
      </c>
    </row>
    <row r="11" spans="1:8">
      <c r="A11" s="2" t="s">
        <v>22</v>
      </c>
      <c r="D11" s="2" t="s">
        <v>23</v>
      </c>
      <c r="E11" s="2" t="str">
        <f t="shared" si="0"/>
        <v>1100</v>
      </c>
      <c r="F11" s="2" t="b">
        <v>1</v>
      </c>
      <c r="H11" s="5" t="str">
        <f t="shared" si="1"/>
        <v>INSERT INTO `monitoring_alat_berat`.`accounts` (`account_number`, `account_description`, `parent_id`, `level`) VALUES ('1108', 'Piutang Lain-lain', 1, 2);</v>
      </c>
    </row>
    <row r="12" spans="1:8">
      <c r="A12" s="2" t="s">
        <v>24</v>
      </c>
      <c r="D12" s="2" t="s">
        <v>25</v>
      </c>
      <c r="E12" s="2" t="str">
        <f t="shared" si="0"/>
        <v>1100</v>
      </c>
      <c r="F12" s="2" t="b">
        <v>1</v>
      </c>
      <c r="H12" s="5" t="str">
        <f t="shared" si="1"/>
        <v>INSERT INTO `monitoring_alat_berat`.`accounts` (`account_number`, `account_description`, `parent_id`, `level`) VALUES ('1109', 'Persediaan Solar', 1, 2);</v>
      </c>
    </row>
    <row r="13" spans="1:8">
      <c r="A13" s="2" t="s">
        <v>26</v>
      </c>
      <c r="D13" s="2" t="s">
        <v>27</v>
      </c>
      <c r="E13" s="2" t="str">
        <f t="shared" si="0"/>
        <v>1100</v>
      </c>
      <c r="F13" s="2" t="b">
        <v>1</v>
      </c>
      <c r="H13" s="5" t="str">
        <f t="shared" si="1"/>
        <v>INSERT INTO `monitoring_alat_berat`.`accounts` (`account_number`, `account_description`, `parent_id`, `level`) VALUES ('1110', 'Persediaan Oli &amp; Grease', 1, 2);</v>
      </c>
    </row>
    <row r="14" spans="1:8">
      <c r="A14" s="2" t="s">
        <v>28</v>
      </c>
      <c r="D14" s="2" t="s">
        <v>29</v>
      </c>
      <c r="E14" s="2" t="str">
        <f t="shared" si="0"/>
        <v>1100</v>
      </c>
      <c r="F14" s="2" t="b">
        <v>1</v>
      </c>
      <c r="H14" s="5" t="str">
        <f t="shared" si="1"/>
        <v>INSERT INTO `monitoring_alat_berat`.`accounts` (`account_number`, `account_description`, `parent_id`, `level`) VALUES ('1111', 'Persediaan Sparepart', 1, 2);</v>
      </c>
    </row>
    <row r="15" spans="1:8">
      <c r="A15" s="2" t="s">
        <v>30</v>
      </c>
      <c r="D15" s="2" t="s">
        <v>31</v>
      </c>
      <c r="E15" s="2" t="str">
        <f t="shared" si="0"/>
        <v>1100</v>
      </c>
      <c r="F15" s="2" t="b">
        <v>1</v>
      </c>
      <c r="H15" s="5" t="str">
        <f t="shared" si="1"/>
        <v>INSERT INTO `monitoring_alat_berat`.`accounts` (`account_number`, `account_description`, `parent_id`, `level`) VALUES ('1112', 'Persediaan Ban', 1, 2);</v>
      </c>
    </row>
    <row r="16" spans="1:8">
      <c r="A16" s="2" t="s">
        <v>32</v>
      </c>
      <c r="D16" s="2" t="s">
        <v>33</v>
      </c>
      <c r="E16" s="2" t="str">
        <f t="shared" si="0"/>
        <v>1100</v>
      </c>
      <c r="F16" s="2" t="b">
        <v>1</v>
      </c>
      <c r="H16" s="5" t="str">
        <f t="shared" si="1"/>
        <v>INSERT INTO `monitoring_alat_berat`.`accounts` (`account_number`, `account_description`, `parent_id`, `level`) VALUES ('1113', 'Uang Muka Supplier', 1, 2);</v>
      </c>
    </row>
    <row r="17" spans="1:8">
      <c r="A17" s="2" t="s">
        <v>34</v>
      </c>
      <c r="D17" s="2" t="s">
        <v>35</v>
      </c>
      <c r="E17" s="2" t="str">
        <f t="shared" si="0"/>
        <v>1100</v>
      </c>
      <c r="F17" s="2" t="b">
        <v>1</v>
      </c>
      <c r="H17" s="5" t="str">
        <f t="shared" si="1"/>
        <v>INSERT INTO `monitoring_alat_berat`.`accounts` (`account_number`, `account_description`, `parent_id`, `level`) VALUES ('1114', 'Uang Muka Pembelian Alat', 1, 2);</v>
      </c>
    </row>
    <row r="18" spans="1:8">
      <c r="A18" s="2" t="s">
        <v>36</v>
      </c>
      <c r="D18" s="2" t="s">
        <v>37</v>
      </c>
      <c r="E18" s="2" t="str">
        <f t="shared" si="0"/>
        <v>1100</v>
      </c>
      <c r="F18" s="2" t="b">
        <v>1</v>
      </c>
      <c r="H18" s="5" t="str">
        <f t="shared" si="1"/>
        <v>INSERT INTO `monitoring_alat_berat`.`accounts` (`account_number`, `account_description`, `parent_id`, `level`) VALUES ('1115', 'Biaya Dibayar Dimuka', 1, 2);</v>
      </c>
    </row>
    <row r="19" spans="1:8">
      <c r="A19" s="2" t="s">
        <v>38</v>
      </c>
      <c r="D19" s="2" t="s">
        <v>39</v>
      </c>
      <c r="E19" s="2" t="str">
        <f t="shared" si="0"/>
        <v>1100</v>
      </c>
      <c r="F19" s="2" t="b">
        <v>1</v>
      </c>
      <c r="H19" s="5" t="str">
        <f t="shared" si="1"/>
        <v>INSERT INTO `monitoring_alat_berat`.`accounts` (`account_number`, `account_description`, `parent_id`, `level`) VALUES ('1116', 'PPN Masukan', 1, 2);</v>
      </c>
    </row>
    <row r="20" spans="1:8">
      <c r="A20" s="2" t="s">
        <v>40</v>
      </c>
      <c r="D20" s="2" t="s">
        <v>41</v>
      </c>
      <c r="E20" s="2" t="str">
        <f t="shared" si="0"/>
        <v>1100</v>
      </c>
      <c r="F20" s="2" t="b">
        <v>1</v>
      </c>
      <c r="H20" s="5" t="str">
        <f t="shared" si="1"/>
        <v>INSERT INTO `monitoring_alat_berat`.`accounts` (`account_number`, `account_description`, `parent_id`, `level`) VALUES ('1117', 'Pajak Dibayar Dimuka', 1, 2);</v>
      </c>
    </row>
    <row r="21" spans="1:8">
      <c r="A21" s="2" t="s">
        <v>42</v>
      </c>
      <c r="D21" s="2" t="s">
        <v>43</v>
      </c>
      <c r="E21" s="2" t="str">
        <f t="shared" si="0"/>
        <v>1100</v>
      </c>
      <c r="F21" s="2" t="b">
        <v>1</v>
      </c>
      <c r="H21" s="5" t="str">
        <f t="shared" si="1"/>
        <v>INSERT INTO `monitoring_alat_berat`.`accounts` (`account_number`, `account_description`, `parent_id`, `level`) VALUES ('1118', 'Deposito', 1, 2);</v>
      </c>
    </row>
    <row r="22" spans="1:8">
      <c r="A22" s="4" t="s">
        <v>277</v>
      </c>
      <c r="D22" s="2" t="s">
        <v>278</v>
      </c>
      <c r="E22" s="2" t="str">
        <f t="shared" si="0"/>
        <v>1100</v>
      </c>
      <c r="F22" s="2" t="b">
        <v>1</v>
      </c>
      <c r="H22" s="5" t="str">
        <f t="shared" si="1"/>
        <v>INSERT INTO `monitoring_alat_berat`.`accounts` (`account_number`, `account_description`, `parent_id`, `level`) VALUES ('1119', 'Aktiva Pajak Tangguhan', 1, 2);</v>
      </c>
    </row>
    <row r="23" spans="1:8">
      <c r="A23" s="2" t="s">
        <v>44</v>
      </c>
      <c r="C23" s="3" t="s">
        <v>45</v>
      </c>
      <c r="E23" s="2" t="str">
        <f>$A$2</f>
        <v>1000</v>
      </c>
      <c r="F23" s="2" t="b">
        <v>0</v>
      </c>
      <c r="H23" s="5" t="str">
        <f t="shared" si="1"/>
        <v>INSERT INTO `monitoring_alat_berat`.`accounts` (`account_number`, `account_description`, `parent_id`, `level`) VALUES ('1200', '', 1, 2);</v>
      </c>
    </row>
    <row r="24" spans="1:8">
      <c r="A24" s="2" t="s">
        <v>46</v>
      </c>
      <c r="D24" s="2" t="s">
        <v>47</v>
      </c>
      <c r="E24" s="2" t="str">
        <f>$A$23</f>
        <v>1200</v>
      </c>
      <c r="F24" s="2" t="b">
        <v>1</v>
      </c>
      <c r="H24" s="5" t="str">
        <f t="shared" si="1"/>
        <v>INSERT INTO `monitoring_alat_berat`.`accounts` (`account_number`, `account_description`, `parent_id`, `level`) VALUES ('1201', 'Excavator', 1, 2);</v>
      </c>
    </row>
    <row r="25" spans="1:8">
      <c r="A25" s="2" t="s">
        <v>48</v>
      </c>
      <c r="D25" s="2" t="s">
        <v>49</v>
      </c>
      <c r="E25" s="2" t="str">
        <f t="shared" ref="E25:E35" si="2">$A$23</f>
        <v>1200</v>
      </c>
      <c r="F25" s="2" t="b">
        <v>1</v>
      </c>
      <c r="H25" s="5" t="str">
        <f t="shared" si="1"/>
        <v>INSERT INTO `monitoring_alat_berat`.`accounts` (`account_number`, `account_description`, `parent_id`, `level`) VALUES ('1202', 'Bulldozer', 1, 2);</v>
      </c>
    </row>
    <row r="26" spans="1:8">
      <c r="A26" s="2" t="s">
        <v>50</v>
      </c>
      <c r="D26" s="2" t="s">
        <v>51</v>
      </c>
      <c r="E26" s="2" t="str">
        <f t="shared" si="2"/>
        <v>1200</v>
      </c>
      <c r="F26" s="2" t="b">
        <v>1</v>
      </c>
      <c r="H26" s="5" t="str">
        <f t="shared" si="1"/>
        <v>INSERT INTO `monitoring_alat_berat`.`accounts` (`account_number`, `account_description`, `parent_id`, `level`) VALUES ('1203', 'Dump Truck', 1, 2);</v>
      </c>
    </row>
    <row r="27" spans="1:8">
      <c r="A27" s="2" t="s">
        <v>52</v>
      </c>
      <c r="D27" s="2" t="s">
        <v>53</v>
      </c>
      <c r="E27" s="2" t="str">
        <f t="shared" si="2"/>
        <v>1200</v>
      </c>
      <c r="F27" s="2" t="b">
        <v>1</v>
      </c>
      <c r="H27" s="5" t="str">
        <f t="shared" si="1"/>
        <v>INSERT INTO `monitoring_alat_berat`.`accounts` (`account_number`, `account_description`, `parent_id`, `level`) VALUES ('1204', 'Wheel Loader', 1, 2);</v>
      </c>
    </row>
    <row r="28" spans="1:8">
      <c r="A28" s="2" t="s">
        <v>54</v>
      </c>
      <c r="D28" s="2" t="s">
        <v>55</v>
      </c>
      <c r="E28" s="2" t="str">
        <f t="shared" si="2"/>
        <v>1200</v>
      </c>
      <c r="F28" s="2" t="b">
        <v>1</v>
      </c>
      <c r="H28" s="5" t="str">
        <f t="shared" si="1"/>
        <v>INSERT INTO `monitoring_alat_berat`.`accounts` (`account_number`, `account_description`, `parent_id`, `level`) VALUES ('1205', 'Motor Grader', 1, 2);</v>
      </c>
    </row>
    <row r="29" spans="1:8">
      <c r="A29" s="2" t="s">
        <v>56</v>
      </c>
      <c r="D29" s="2" t="s">
        <v>57</v>
      </c>
      <c r="E29" s="2" t="str">
        <f t="shared" si="2"/>
        <v>1200</v>
      </c>
      <c r="F29" s="2" t="b">
        <v>1</v>
      </c>
      <c r="H29" s="5" t="str">
        <f t="shared" si="1"/>
        <v>INSERT INTO `monitoring_alat_berat`.`accounts` (`account_number`, `account_description`, `parent_id`, `level`) VALUES ('1206', 'Vibro Roller', 1, 2);</v>
      </c>
    </row>
    <row r="30" spans="1:8">
      <c r="A30" s="2" t="s">
        <v>58</v>
      </c>
      <c r="D30" s="2" t="s">
        <v>59</v>
      </c>
      <c r="E30" s="2" t="str">
        <f t="shared" si="2"/>
        <v>1200</v>
      </c>
      <c r="F30" s="2" t="b">
        <v>1</v>
      </c>
      <c r="H30" s="5" t="str">
        <f t="shared" si="1"/>
        <v>INSERT INTO `monitoring_alat_berat`.`accounts` (`account_number`, `account_description`, `parent_id`, `level`) VALUES ('1207', 'Water Truck', 1, 2);</v>
      </c>
    </row>
    <row r="31" spans="1:8">
      <c r="A31" s="2" t="s">
        <v>60</v>
      </c>
      <c r="D31" s="2" t="s">
        <v>61</v>
      </c>
      <c r="E31" s="2" t="str">
        <f t="shared" si="2"/>
        <v>1200</v>
      </c>
      <c r="F31" s="2" t="b">
        <v>1</v>
      </c>
      <c r="H31" s="5" t="str">
        <f t="shared" si="1"/>
        <v>INSERT INTO `monitoring_alat_berat`.`accounts` (`account_number`, `account_description`, `parent_id`, `level`) VALUES ('1208', 'Low Bed Trailer', 1, 2);</v>
      </c>
    </row>
    <row r="32" spans="1:8">
      <c r="A32" s="2" t="s">
        <v>62</v>
      </c>
      <c r="D32" s="2" t="s">
        <v>63</v>
      </c>
      <c r="E32" s="2" t="str">
        <f t="shared" si="2"/>
        <v>1200</v>
      </c>
      <c r="F32" s="2" t="b">
        <v>1</v>
      </c>
      <c r="H32" s="5" t="str">
        <f t="shared" si="1"/>
        <v>INSERT INTO `monitoring_alat_berat`.`accounts` (`account_number`, `account_description`, `parent_id`, `level`) VALUES ('1209', 'Kendaraan Operasional', 1, 2);</v>
      </c>
    </row>
    <row r="33" spans="1:8">
      <c r="A33" s="2" t="s">
        <v>64</v>
      </c>
      <c r="D33" s="2" t="s">
        <v>65</v>
      </c>
      <c r="E33" s="2" t="str">
        <f t="shared" si="2"/>
        <v>1200</v>
      </c>
      <c r="F33" s="2" t="b">
        <v>1</v>
      </c>
      <c r="H33" s="5" t="str">
        <f t="shared" si="1"/>
        <v>INSERT INTO `monitoring_alat_berat`.`accounts` (`account_number`, `account_description`, `parent_id`, `level`) VALUES ('1210', 'Bangunan', 1, 2);</v>
      </c>
    </row>
    <row r="34" spans="1:8">
      <c r="A34" s="2" t="s">
        <v>66</v>
      </c>
      <c r="D34" s="2" t="s">
        <v>67</v>
      </c>
      <c r="E34" s="2" t="str">
        <f t="shared" si="2"/>
        <v>1200</v>
      </c>
      <c r="F34" s="2" t="b">
        <v>1</v>
      </c>
      <c r="H34" s="5" t="str">
        <f t="shared" si="1"/>
        <v>INSERT INTO `monitoring_alat_berat`.`accounts` (`account_number`, `account_description`, `parent_id`, `level`) VALUES ('1211', 'Peralatan Kantor', 1, 2);</v>
      </c>
    </row>
    <row r="35" spans="1:8">
      <c r="A35" s="2" t="s">
        <v>68</v>
      </c>
      <c r="D35" s="2" t="s">
        <v>69</v>
      </c>
      <c r="E35" s="2" t="str">
        <f t="shared" si="2"/>
        <v>1200</v>
      </c>
      <c r="F35" s="2" t="b">
        <v>1</v>
      </c>
      <c r="H35" s="5" t="str">
        <f t="shared" si="1"/>
        <v>INSERT INTO `monitoring_alat_berat`.`accounts` (`account_number`, `account_description`, `parent_id`, `level`) VALUES ('1212', 'Inventaris Kantor', 1, 2);</v>
      </c>
    </row>
    <row r="36" spans="1:8">
      <c r="A36" s="2" t="s">
        <v>70</v>
      </c>
      <c r="C36" s="3" t="s">
        <v>71</v>
      </c>
      <c r="E36" s="2" t="str">
        <f>$A$2</f>
        <v>1000</v>
      </c>
      <c r="F36" s="2" t="b">
        <v>0</v>
      </c>
      <c r="H36" s="5" t="str">
        <f t="shared" si="1"/>
        <v>INSERT INTO `monitoring_alat_berat`.`accounts` (`account_number`, `account_description`, `parent_id`, `level`) VALUES ('1300', '', 1, 2);</v>
      </c>
    </row>
    <row r="37" spans="1:8">
      <c r="A37" s="2" t="s">
        <v>72</v>
      </c>
      <c r="D37" s="2" t="s">
        <v>73</v>
      </c>
      <c r="E37" s="2" t="str">
        <f>$A$36</f>
        <v>1300</v>
      </c>
      <c r="F37" s="2" t="b">
        <v>1</v>
      </c>
      <c r="H37" s="5" t="str">
        <f t="shared" si="1"/>
        <v>INSERT INTO `monitoring_alat_berat`.`accounts` (`account_number`, `account_description`, `parent_id`, `level`) VALUES ('1301', 'Akumulasi Penyusutan Excavator', 1, 2);</v>
      </c>
    </row>
    <row r="38" spans="1:8">
      <c r="A38" s="2" t="s">
        <v>74</v>
      </c>
      <c r="D38" s="2" t="s">
        <v>75</v>
      </c>
      <c r="E38" s="2" t="str">
        <f t="shared" ref="E38:E43" si="3">$A$36</f>
        <v>1300</v>
      </c>
      <c r="F38" s="2" t="b">
        <v>1</v>
      </c>
      <c r="H38" s="5" t="str">
        <f t="shared" si="1"/>
        <v>INSERT INTO `monitoring_alat_berat`.`accounts` (`account_number`, `account_description`, `parent_id`, `level`) VALUES ('1302', 'Akumulasi Penyusutan Bulldozer', 1, 2);</v>
      </c>
    </row>
    <row r="39" spans="1:8">
      <c r="A39" s="2" t="s">
        <v>76</v>
      </c>
      <c r="D39" s="2" t="s">
        <v>77</v>
      </c>
      <c r="E39" s="2" t="str">
        <f t="shared" si="3"/>
        <v>1300</v>
      </c>
      <c r="F39" s="2" t="b">
        <v>1</v>
      </c>
      <c r="H39" s="5" t="str">
        <f t="shared" si="1"/>
        <v>INSERT INTO `monitoring_alat_berat`.`accounts` (`account_number`, `account_description`, `parent_id`, `level`) VALUES ('1303', 'Akumulasi Penyusutan Dump Truck', 1, 2);</v>
      </c>
    </row>
    <row r="40" spans="1:8">
      <c r="A40" s="2" t="s">
        <v>78</v>
      </c>
      <c r="D40" s="2" t="s">
        <v>79</v>
      </c>
      <c r="E40" s="2" t="str">
        <f t="shared" si="3"/>
        <v>1300</v>
      </c>
      <c r="F40" s="2" t="b">
        <v>1</v>
      </c>
      <c r="H40" s="5" t="str">
        <f t="shared" si="1"/>
        <v>INSERT INTO `monitoring_alat_berat`.`accounts` (`account_number`, `account_description`, `parent_id`, `level`) VALUES ('1304', 'Akumulasi Penyusutan Wheel Loader', 1, 2);</v>
      </c>
    </row>
    <row r="41" spans="1:8">
      <c r="A41" s="2" t="s">
        <v>80</v>
      </c>
      <c r="D41" s="2" t="s">
        <v>81</v>
      </c>
      <c r="E41" s="2" t="str">
        <f t="shared" si="3"/>
        <v>1300</v>
      </c>
      <c r="F41" s="2" t="b">
        <v>1</v>
      </c>
      <c r="H41" s="5" t="str">
        <f t="shared" si="1"/>
        <v>INSERT INTO `monitoring_alat_berat`.`accounts` (`account_number`, `account_description`, `parent_id`, `level`) VALUES ('1305', 'Akumulasi Penyusutan Kendaraan', 1, 2);</v>
      </c>
    </row>
    <row r="42" spans="1:8">
      <c r="A42" s="2" t="s">
        <v>82</v>
      </c>
      <c r="D42" s="2" t="s">
        <v>83</v>
      </c>
      <c r="E42" s="2" t="str">
        <f t="shared" si="3"/>
        <v>1300</v>
      </c>
      <c r="F42" s="2" t="b">
        <v>1</v>
      </c>
      <c r="H42" s="5" t="str">
        <f t="shared" si="1"/>
        <v>INSERT INTO `monitoring_alat_berat`.`accounts` (`account_number`, `account_description`, `parent_id`, `level`) VALUES ('1306', 'Akumulasi Penyusutan Bangunan', 1, 2);</v>
      </c>
    </row>
    <row r="43" spans="1:8">
      <c r="A43" s="2" t="s">
        <v>84</v>
      </c>
      <c r="D43" s="2" t="s">
        <v>85</v>
      </c>
      <c r="E43" s="2" t="str">
        <f t="shared" si="3"/>
        <v>1300</v>
      </c>
      <c r="F43" s="2" t="b">
        <v>1</v>
      </c>
      <c r="H43" s="5" t="str">
        <f t="shared" si="1"/>
        <v>INSERT INTO `monitoring_alat_berat`.`accounts` (`account_number`, `account_description`, `parent_id`, `level`) VALUES ('1307', 'Akumulasi Penyusutan Inventaris', 1, 2);</v>
      </c>
    </row>
    <row r="44" spans="1:8" ht="18">
      <c r="A44" s="1" t="s">
        <v>86</v>
      </c>
      <c r="B44" s="1" t="s">
        <v>87</v>
      </c>
      <c r="D44" s="1"/>
    </row>
    <row r="45" spans="1:8">
      <c r="A45" s="2" t="s">
        <v>88</v>
      </c>
      <c r="C45" s="3" t="s">
        <v>89</v>
      </c>
      <c r="E45" s="2" t="str">
        <f>$A$44</f>
        <v>2000</v>
      </c>
      <c r="F45" s="2" t="b">
        <v>0</v>
      </c>
      <c r="H45" s="5" t="str">
        <f t="shared" ref="H45:H62" si="4">"INSERT INTO `monitoring_alat_berat`.`accounts` (`account_number`, `account_description`, `parent_id`, `level`) VALUES ('"&amp;A45&amp;"', '"&amp;D45&amp;"', 1, 2);"</f>
        <v>INSERT INTO `monitoring_alat_berat`.`accounts` (`account_number`, `account_description`, `parent_id`, `level`) VALUES ('2100', '', 1, 2);</v>
      </c>
    </row>
    <row r="46" spans="1:8">
      <c r="A46" s="2" t="s">
        <v>90</v>
      </c>
      <c r="D46" s="2" t="s">
        <v>91</v>
      </c>
      <c r="E46" s="2" t="str">
        <f>$A$45</f>
        <v>2100</v>
      </c>
      <c r="F46" s="2" t="b">
        <v>1</v>
      </c>
      <c r="H46" s="5" t="str">
        <f t="shared" si="4"/>
        <v>INSERT INTO `monitoring_alat_berat`.`accounts` (`account_number`, `account_description`, `parent_id`, `level`) VALUES ('2101', 'Hutang Usaha', 1, 2);</v>
      </c>
    </row>
    <row r="47" spans="1:8">
      <c r="A47" s="2" t="s">
        <v>92</v>
      </c>
      <c r="D47" s="2" t="s">
        <v>93</v>
      </c>
      <c r="E47" s="2" t="str">
        <f t="shared" ref="E47:E57" si="5">$A$45</f>
        <v>2100</v>
      </c>
      <c r="F47" s="2" t="b">
        <v>1</v>
      </c>
      <c r="H47" s="5" t="str">
        <f t="shared" si="4"/>
        <v>INSERT INTO `monitoring_alat_berat`.`accounts` (`account_number`, `account_description`, `parent_id`, `level`) VALUES ('2102', 'Hutang Solar', 1, 2);</v>
      </c>
    </row>
    <row r="48" spans="1:8">
      <c r="A48" s="2" t="s">
        <v>94</v>
      </c>
      <c r="D48" s="2" t="s">
        <v>95</v>
      </c>
      <c r="E48" s="2" t="str">
        <f t="shared" si="5"/>
        <v>2100</v>
      </c>
      <c r="F48" s="2" t="b">
        <v>1</v>
      </c>
      <c r="H48" s="5" t="str">
        <f t="shared" si="4"/>
        <v>INSERT INTO `monitoring_alat_berat`.`accounts` (`account_number`, `account_description`, `parent_id`, `level`) VALUES ('2103', 'Hutang Sparepart', 1, 2);</v>
      </c>
    </row>
    <row r="49" spans="1:8">
      <c r="A49" s="2" t="s">
        <v>96</v>
      </c>
      <c r="D49" s="2" t="s">
        <v>97</v>
      </c>
      <c r="E49" s="2" t="str">
        <f t="shared" si="5"/>
        <v>2100</v>
      </c>
      <c r="F49" s="2" t="b">
        <v>1</v>
      </c>
      <c r="H49" s="5" t="str">
        <f t="shared" si="4"/>
        <v>INSERT INTO `monitoring_alat_berat`.`accounts` (`account_number`, `account_description`, `parent_id`, `level`) VALUES ('2104', 'Hutang Gaji', 1, 2);</v>
      </c>
    </row>
    <row r="50" spans="1:8">
      <c r="A50" s="2" t="s">
        <v>98</v>
      </c>
      <c r="D50" s="2" t="s">
        <v>99</v>
      </c>
      <c r="E50" s="2" t="str">
        <f t="shared" si="5"/>
        <v>2100</v>
      </c>
      <c r="F50" s="2" t="b">
        <v>1</v>
      </c>
      <c r="H50" s="5" t="str">
        <f t="shared" si="4"/>
        <v>INSERT INTO `monitoring_alat_berat`.`accounts` (`account_number`, `account_description`, `parent_id`, `level`) VALUES ('2105', 'Hutang BPJS', 1, 2);</v>
      </c>
    </row>
    <row r="51" spans="1:8">
      <c r="A51" s="2" t="s">
        <v>100</v>
      </c>
      <c r="D51" s="2" t="s">
        <v>101</v>
      </c>
      <c r="E51" s="2" t="str">
        <f t="shared" si="5"/>
        <v>2100</v>
      </c>
      <c r="F51" s="2" t="b">
        <v>1</v>
      </c>
      <c r="H51" s="5" t="str">
        <f t="shared" si="4"/>
        <v>INSERT INTO `monitoring_alat_berat`.`accounts` (`account_number`, `account_description`, `parent_id`, `level`) VALUES ('2106', 'Hutang PPN', 1, 2);</v>
      </c>
    </row>
    <row r="52" spans="1:8">
      <c r="A52" s="2" t="s">
        <v>102</v>
      </c>
      <c r="D52" s="2" t="s">
        <v>103</v>
      </c>
      <c r="E52" s="2" t="str">
        <f t="shared" si="5"/>
        <v>2100</v>
      </c>
      <c r="F52" s="2" t="b">
        <v>1</v>
      </c>
      <c r="H52" s="5" t="str">
        <f t="shared" si="4"/>
        <v>INSERT INTO `monitoring_alat_berat`.`accounts` (`account_number`, `account_description`, `parent_id`, `level`) VALUES ('2107', 'Hutang PPh 21', 1, 2);</v>
      </c>
    </row>
    <row r="53" spans="1:8">
      <c r="A53" s="2" t="s">
        <v>104</v>
      </c>
      <c r="D53" s="2" t="s">
        <v>105</v>
      </c>
      <c r="E53" s="2" t="str">
        <f t="shared" si="5"/>
        <v>2100</v>
      </c>
      <c r="F53" s="2" t="b">
        <v>1</v>
      </c>
      <c r="H53" s="5" t="str">
        <f t="shared" si="4"/>
        <v>INSERT INTO `monitoring_alat_berat`.`accounts` (`account_number`, `account_description`, `parent_id`, `level`) VALUES ('2108', 'Hutang PPh 23', 1, 2);</v>
      </c>
    </row>
    <row r="54" spans="1:8">
      <c r="A54" s="2" t="s">
        <v>106</v>
      </c>
      <c r="D54" s="2" t="s">
        <v>107</v>
      </c>
      <c r="E54" s="2" t="str">
        <f t="shared" si="5"/>
        <v>2100</v>
      </c>
      <c r="F54" s="2" t="b">
        <v>1</v>
      </c>
      <c r="H54" s="5" t="str">
        <f t="shared" si="4"/>
        <v>INSERT INTO `monitoring_alat_berat`.`accounts` (`account_number`, `account_description`, `parent_id`, `level`) VALUES ('2109', 'Hutang PPh 4(2)', 1, 2);</v>
      </c>
    </row>
    <row r="55" spans="1:8">
      <c r="A55" s="2" t="s">
        <v>108</v>
      </c>
      <c r="D55" s="2" t="s">
        <v>109</v>
      </c>
      <c r="E55" s="2" t="str">
        <f t="shared" si="5"/>
        <v>2100</v>
      </c>
      <c r="F55" s="2" t="b">
        <v>1</v>
      </c>
      <c r="H55" s="5" t="str">
        <f t="shared" si="4"/>
        <v>INSERT INTO `monitoring_alat_berat`.`accounts` (`account_number`, `account_description`, `parent_id`, `level`) VALUES ('2110', 'Hutang Pajak Lainnya', 1, 2);</v>
      </c>
    </row>
    <row r="56" spans="1:8">
      <c r="A56" s="2" t="s">
        <v>110</v>
      </c>
      <c r="D56" s="2" t="s">
        <v>111</v>
      </c>
      <c r="E56" s="2" t="str">
        <f t="shared" si="5"/>
        <v>2100</v>
      </c>
      <c r="F56" s="2" t="b">
        <v>1</v>
      </c>
      <c r="H56" s="5" t="str">
        <f t="shared" si="4"/>
        <v>INSERT INTO `monitoring_alat_berat`.`accounts` (`account_number`, `account_description`, `parent_id`, `level`) VALUES ('2111', 'Biaya Masih Harus Dibayar', 1, 2);</v>
      </c>
    </row>
    <row r="57" spans="1:8">
      <c r="A57" s="4" t="s">
        <v>279</v>
      </c>
      <c r="D57" s="2" t="s">
        <v>280</v>
      </c>
      <c r="E57" s="2" t="str">
        <f t="shared" si="5"/>
        <v>2100</v>
      </c>
      <c r="F57" s="2" t="b">
        <v>1</v>
      </c>
      <c r="H57" s="5" t="str">
        <f t="shared" si="4"/>
        <v>INSERT INTO `monitoring_alat_berat`.`accounts` (`account_number`, `account_description`, `parent_id`, `level`) VALUES ('2112', 'Kewajiban Pajak Tangguhan', 1, 2);</v>
      </c>
    </row>
    <row r="58" spans="1:8">
      <c r="A58" s="2" t="s">
        <v>112</v>
      </c>
      <c r="C58" s="3" t="s">
        <v>113</v>
      </c>
      <c r="E58" s="2" t="str">
        <f>$A$44</f>
        <v>2000</v>
      </c>
      <c r="F58" s="2" t="b">
        <v>0</v>
      </c>
      <c r="H58" s="5" t="str">
        <f t="shared" si="4"/>
        <v>INSERT INTO `monitoring_alat_berat`.`accounts` (`account_number`, `account_description`, `parent_id`, `level`) VALUES ('2200', '', 1, 2);</v>
      </c>
    </row>
    <row r="59" spans="1:8">
      <c r="A59" s="2" t="s">
        <v>114</v>
      </c>
      <c r="D59" s="2" t="s">
        <v>115</v>
      </c>
      <c r="E59" s="2" t="str">
        <f>$A$58</f>
        <v>2200</v>
      </c>
      <c r="F59" s="2" t="b">
        <v>1</v>
      </c>
      <c r="H59" s="5" t="str">
        <f t="shared" si="4"/>
        <v>INSERT INTO `monitoring_alat_berat`.`accounts` (`account_number`, `account_description`, `parent_id`, `level`) VALUES ('2201', 'Hutang Leasing Alat Berat', 1, 2);</v>
      </c>
    </row>
    <row r="60" spans="1:8">
      <c r="A60" s="2" t="s">
        <v>116</v>
      </c>
      <c r="D60" s="2" t="s">
        <v>117</v>
      </c>
      <c r="E60" s="2" t="str">
        <f>$A$58</f>
        <v>2200</v>
      </c>
      <c r="F60" s="2" t="b">
        <v>1</v>
      </c>
      <c r="H60" s="5" t="str">
        <f t="shared" si="4"/>
        <v>INSERT INTO `monitoring_alat_berat`.`accounts` (`account_number`, `account_description`, `parent_id`, `level`) VALUES ('2202', 'Hutang Leasing Dump Truck', 1, 2);</v>
      </c>
    </row>
    <row r="61" spans="1:8">
      <c r="A61" s="2" t="s">
        <v>118</v>
      </c>
      <c r="D61" s="2" t="s">
        <v>119</v>
      </c>
      <c r="E61" s="2" t="str">
        <f>$A$58</f>
        <v>2200</v>
      </c>
      <c r="F61" s="2" t="b">
        <v>1</v>
      </c>
      <c r="H61" s="5" t="str">
        <f t="shared" si="4"/>
        <v>INSERT INTO `monitoring_alat_berat`.`accounts` (`account_number`, `account_description`, `parent_id`, `level`) VALUES ('2203', 'Hutang Bank', 1, 2);</v>
      </c>
    </row>
    <row r="62" spans="1:8">
      <c r="A62" s="2" t="s">
        <v>120</v>
      </c>
      <c r="D62" s="2" t="s">
        <v>121</v>
      </c>
      <c r="E62" s="2" t="str">
        <f>$A$58</f>
        <v>2200</v>
      </c>
      <c r="F62" s="2" t="b">
        <v>1</v>
      </c>
      <c r="H62" s="5" t="str">
        <f t="shared" si="4"/>
        <v>INSERT INTO `monitoring_alat_berat`.`accounts` (`account_number`, `account_description`, `parent_id`, `level`) VALUES ('2204', 'Hutang Jangka Panjang Lainnya', 1, 2);</v>
      </c>
    </row>
    <row r="63" spans="1:8" ht="18">
      <c r="A63" s="1" t="s">
        <v>122</v>
      </c>
      <c r="B63" s="1" t="s">
        <v>123</v>
      </c>
      <c r="D63" s="1"/>
    </row>
    <row r="64" spans="1:8">
      <c r="A64" s="2" t="s">
        <v>124</v>
      </c>
      <c r="C64" s="2" t="s">
        <v>125</v>
      </c>
      <c r="E64" s="2" t="str">
        <f>$A$63</f>
        <v>3000</v>
      </c>
      <c r="F64" s="2" t="b">
        <v>1</v>
      </c>
      <c r="H64" s="5" t="str">
        <f t="shared" ref="H64:H67" si="6">"INSERT INTO `monitoring_alat_berat`.`accounts` (`account_number`, `account_description`, `parent_id`, `level`) VALUES ('"&amp;A64&amp;"', '"&amp;D64&amp;"', 1, 2);"</f>
        <v>INSERT INTO `monitoring_alat_berat`.`accounts` (`account_number`, `account_description`, `parent_id`, `level`) VALUES ('3101', '', 1, 2);</v>
      </c>
    </row>
    <row r="65" spans="1:8">
      <c r="A65" s="2" t="s">
        <v>126</v>
      </c>
      <c r="C65" s="2" t="s">
        <v>127</v>
      </c>
      <c r="E65" s="2" t="str">
        <f>$A$63</f>
        <v>3000</v>
      </c>
      <c r="F65" s="2" t="b">
        <v>1</v>
      </c>
      <c r="H65" s="5" t="str">
        <f t="shared" si="6"/>
        <v>INSERT INTO `monitoring_alat_berat`.`accounts` (`account_number`, `account_description`, `parent_id`, `level`) VALUES ('3102', '', 1, 2);</v>
      </c>
    </row>
    <row r="66" spans="1:8">
      <c r="A66" s="2" t="s">
        <v>128</v>
      </c>
      <c r="C66" s="2" t="s">
        <v>129</v>
      </c>
      <c r="E66" s="2" t="str">
        <f>$A$63</f>
        <v>3000</v>
      </c>
      <c r="F66" s="2" t="b">
        <v>1</v>
      </c>
      <c r="H66" s="5" t="str">
        <f t="shared" si="6"/>
        <v>INSERT INTO `monitoring_alat_berat`.`accounts` (`account_number`, `account_description`, `parent_id`, `level`) VALUES ('3103', '', 1, 2);</v>
      </c>
    </row>
    <row r="67" spans="1:8">
      <c r="A67" s="2" t="s">
        <v>130</v>
      </c>
      <c r="C67" s="2" t="s">
        <v>131</v>
      </c>
      <c r="E67" s="2" t="str">
        <f>$A$63</f>
        <v>3000</v>
      </c>
      <c r="F67" s="2" t="b">
        <v>1</v>
      </c>
      <c r="H67" s="5" t="str">
        <f t="shared" si="6"/>
        <v>INSERT INTO `monitoring_alat_berat`.`accounts` (`account_number`, `account_description`, `parent_id`, `level`) VALUES ('3104', '', 1, 2);</v>
      </c>
    </row>
    <row r="68" spans="1:8" ht="18">
      <c r="A68" s="1" t="s">
        <v>132</v>
      </c>
      <c r="B68" s="1" t="s">
        <v>133</v>
      </c>
      <c r="D68" s="1"/>
    </row>
    <row r="69" spans="1:8">
      <c r="A69" s="2" t="s">
        <v>134</v>
      </c>
      <c r="C69" s="2" t="s">
        <v>135</v>
      </c>
      <c r="E69" s="2" t="str">
        <f>$A$68</f>
        <v>4000</v>
      </c>
      <c r="F69" s="2" t="b">
        <v>1</v>
      </c>
      <c r="H69" s="5" t="str">
        <f t="shared" ref="H69:H82" si="7">"INSERT INTO `monitoring_alat_berat`.`accounts` (`account_number`, `account_description`, `parent_id`, `level`) VALUES ('"&amp;A69&amp;"', '"&amp;D69&amp;"', 1, 2);"</f>
        <v>INSERT INTO `monitoring_alat_berat`.`accounts` (`account_number`, `account_description`, `parent_id`, `level`) VALUES ('4101', '', 1, 2);</v>
      </c>
    </row>
    <row r="70" spans="1:8">
      <c r="A70" s="2" t="s">
        <v>136</v>
      </c>
      <c r="C70" s="2" t="s">
        <v>137</v>
      </c>
      <c r="E70" s="2" t="str">
        <f t="shared" ref="E70:E82" si="8">$A$68</f>
        <v>4000</v>
      </c>
      <c r="F70" s="2" t="b">
        <v>1</v>
      </c>
      <c r="H70" s="5" t="str">
        <f t="shared" si="7"/>
        <v>INSERT INTO `monitoring_alat_berat`.`accounts` (`account_number`, `account_description`, `parent_id`, `level`) VALUES ('4102', '', 1, 2);</v>
      </c>
    </row>
    <row r="71" spans="1:8">
      <c r="A71" s="2" t="s">
        <v>138</v>
      </c>
      <c r="C71" s="2" t="s">
        <v>139</v>
      </c>
      <c r="E71" s="2" t="str">
        <f t="shared" si="8"/>
        <v>4000</v>
      </c>
      <c r="F71" s="2" t="b">
        <v>1</v>
      </c>
      <c r="H71" s="5" t="str">
        <f t="shared" si="7"/>
        <v>INSERT INTO `monitoring_alat_berat`.`accounts` (`account_number`, `account_description`, `parent_id`, `level`) VALUES ('4103', '', 1, 2);</v>
      </c>
    </row>
    <row r="72" spans="1:8">
      <c r="A72" s="2" t="s">
        <v>140</v>
      </c>
      <c r="C72" s="2" t="s">
        <v>141</v>
      </c>
      <c r="E72" s="2" t="str">
        <f t="shared" si="8"/>
        <v>4000</v>
      </c>
      <c r="F72" s="2" t="b">
        <v>1</v>
      </c>
      <c r="H72" s="5" t="str">
        <f t="shared" si="7"/>
        <v>INSERT INTO `monitoring_alat_berat`.`accounts` (`account_number`, `account_description`, `parent_id`, `level`) VALUES ('4104', '', 1, 2);</v>
      </c>
    </row>
    <row r="73" spans="1:8">
      <c r="A73" s="2" t="s">
        <v>142</v>
      </c>
      <c r="C73" s="2" t="s">
        <v>143</v>
      </c>
      <c r="E73" s="2" t="str">
        <f t="shared" si="8"/>
        <v>4000</v>
      </c>
      <c r="F73" s="2" t="b">
        <v>1</v>
      </c>
      <c r="H73" s="5" t="str">
        <f t="shared" si="7"/>
        <v>INSERT INTO `monitoring_alat_berat`.`accounts` (`account_number`, `account_description`, `parent_id`, `level`) VALUES ('4105', '', 1, 2);</v>
      </c>
    </row>
    <row r="74" spans="1:8">
      <c r="A74" s="2" t="s">
        <v>144</v>
      </c>
      <c r="C74" s="2" t="s">
        <v>145</v>
      </c>
      <c r="E74" s="2" t="str">
        <f t="shared" si="8"/>
        <v>4000</v>
      </c>
      <c r="F74" s="2" t="b">
        <v>1</v>
      </c>
      <c r="H74" s="5" t="str">
        <f t="shared" si="7"/>
        <v>INSERT INTO `monitoring_alat_berat`.`accounts` (`account_number`, `account_description`, `parent_id`, `level`) VALUES ('4106', '', 1, 2);</v>
      </c>
    </row>
    <row r="75" spans="1:8">
      <c r="A75" s="2" t="s">
        <v>146</v>
      </c>
      <c r="C75" s="2" t="s">
        <v>147</v>
      </c>
      <c r="E75" s="2" t="str">
        <f t="shared" si="8"/>
        <v>4000</v>
      </c>
      <c r="F75" s="2" t="b">
        <v>1</v>
      </c>
      <c r="H75" s="5" t="str">
        <f t="shared" si="7"/>
        <v>INSERT INTO `monitoring_alat_berat`.`accounts` (`account_number`, `account_description`, `parent_id`, `level`) VALUES ('4107', '', 1, 2);</v>
      </c>
    </row>
    <row r="76" spans="1:8">
      <c r="A76" s="2" t="s">
        <v>148</v>
      </c>
      <c r="C76" s="2" t="s">
        <v>149</v>
      </c>
      <c r="E76" s="2" t="str">
        <f t="shared" si="8"/>
        <v>4000</v>
      </c>
      <c r="F76" s="2" t="b">
        <v>1</v>
      </c>
      <c r="H76" s="5" t="str">
        <f t="shared" si="7"/>
        <v>INSERT INTO `monitoring_alat_berat`.`accounts` (`account_number`, `account_description`, `parent_id`, `level`) VALUES ('4108', '', 1, 2);</v>
      </c>
    </row>
    <row r="77" spans="1:8">
      <c r="A77" s="2" t="s">
        <v>150</v>
      </c>
      <c r="C77" s="2" t="s">
        <v>151</v>
      </c>
      <c r="E77" s="2" t="str">
        <f t="shared" si="8"/>
        <v>4000</v>
      </c>
      <c r="F77" s="2" t="b">
        <v>1</v>
      </c>
      <c r="H77" s="5" t="str">
        <f t="shared" si="7"/>
        <v>INSERT INTO `monitoring_alat_berat`.`accounts` (`account_number`, `account_description`, `parent_id`, `level`) VALUES ('4201', '', 1, 2);</v>
      </c>
    </row>
    <row r="78" spans="1:8">
      <c r="A78" s="2" t="s">
        <v>152</v>
      </c>
      <c r="C78" s="2" t="s">
        <v>153</v>
      </c>
      <c r="E78" s="2" t="str">
        <f t="shared" si="8"/>
        <v>4000</v>
      </c>
      <c r="F78" s="2" t="b">
        <v>1</v>
      </c>
      <c r="H78" s="5" t="str">
        <f t="shared" si="7"/>
        <v>INSERT INTO `monitoring_alat_berat`.`accounts` (`account_number`, `account_description`, `parent_id`, `level`) VALUES ('4202', '', 1, 2);</v>
      </c>
    </row>
    <row r="79" spans="1:8">
      <c r="A79" s="2" t="s">
        <v>154</v>
      </c>
      <c r="C79" s="2" t="s">
        <v>155</v>
      </c>
      <c r="E79" s="2" t="str">
        <f t="shared" si="8"/>
        <v>4000</v>
      </c>
      <c r="F79" s="2" t="b">
        <v>1</v>
      </c>
      <c r="H79" s="5" t="str">
        <f t="shared" si="7"/>
        <v>INSERT INTO `monitoring_alat_berat`.`accounts` (`account_number`, `account_description`, `parent_id`, `level`) VALUES ('4203', '', 1, 2);</v>
      </c>
    </row>
    <row r="80" spans="1:8">
      <c r="A80" s="2" t="s">
        <v>156</v>
      </c>
      <c r="C80" s="2" t="s">
        <v>157</v>
      </c>
      <c r="E80" s="2" t="str">
        <f t="shared" si="8"/>
        <v>4000</v>
      </c>
      <c r="F80" s="2" t="b">
        <v>1</v>
      </c>
      <c r="H80" s="5" t="str">
        <f t="shared" si="7"/>
        <v>INSERT INTO `monitoring_alat_berat`.`accounts` (`account_number`, `account_description`, `parent_id`, `level`) VALUES ('4204', '', 1, 2);</v>
      </c>
    </row>
    <row r="81" spans="1:8">
      <c r="A81" s="2" t="s">
        <v>158</v>
      </c>
      <c r="C81" s="2" t="s">
        <v>159</v>
      </c>
      <c r="E81" s="2" t="str">
        <f t="shared" si="8"/>
        <v>4000</v>
      </c>
      <c r="F81" s="2" t="b">
        <v>1</v>
      </c>
      <c r="H81" s="5" t="str">
        <f t="shared" si="7"/>
        <v>INSERT INTO `monitoring_alat_berat`.`accounts` (`account_number`, `account_description`, `parent_id`, `level`) VALUES ('4205', '', 1, 2);</v>
      </c>
    </row>
    <row r="82" spans="1:8">
      <c r="A82" s="2" t="s">
        <v>160</v>
      </c>
      <c r="C82" s="2" t="s">
        <v>161</v>
      </c>
      <c r="E82" s="2" t="str">
        <f t="shared" si="8"/>
        <v>4000</v>
      </c>
      <c r="F82" s="2" t="b">
        <v>1</v>
      </c>
      <c r="H82" s="5" t="str">
        <f t="shared" si="7"/>
        <v>INSERT INTO `monitoring_alat_berat`.`accounts` (`account_number`, `account_description`, `parent_id`, `level`) VALUES ('4206', '', 1, 2);</v>
      </c>
    </row>
    <row r="83" spans="1:8" ht="18">
      <c r="A83" s="1" t="s">
        <v>162</v>
      </c>
      <c r="B83" s="1" t="s">
        <v>163</v>
      </c>
      <c r="D83" s="1"/>
    </row>
    <row r="84" spans="1:8">
      <c r="A84" s="2" t="s">
        <v>164</v>
      </c>
      <c r="C84" s="2" t="s">
        <v>165</v>
      </c>
      <c r="E84" s="2" t="str">
        <f>$A$83</f>
        <v>5000</v>
      </c>
      <c r="F84" s="2" t="b">
        <v>1</v>
      </c>
      <c r="H84" s="5" t="str">
        <f t="shared" ref="H84:H103" si="9">"INSERT INTO `monitoring_alat_berat`.`accounts` (`account_number`, `account_description`, `parent_id`, `level`) VALUES ('"&amp;A84&amp;"', '"&amp;D84&amp;"', 1, 2);"</f>
        <v>INSERT INTO `monitoring_alat_berat`.`accounts` (`account_number`, `account_description`, `parent_id`, `level`) VALUES ('5101', '', 1, 2);</v>
      </c>
    </row>
    <row r="85" spans="1:8">
      <c r="A85" s="2" t="s">
        <v>166</v>
      </c>
      <c r="C85" s="2" t="s">
        <v>167</v>
      </c>
      <c r="E85" s="2" t="str">
        <f t="shared" ref="E85:E103" si="10">$A$83</f>
        <v>5000</v>
      </c>
      <c r="F85" s="2" t="b">
        <v>1</v>
      </c>
      <c r="H85" s="5" t="str">
        <f t="shared" si="9"/>
        <v>INSERT INTO `monitoring_alat_berat`.`accounts` (`account_number`, `account_description`, `parent_id`, `level`) VALUES ('5102', '', 1, 2);</v>
      </c>
    </row>
    <row r="86" spans="1:8">
      <c r="A86" s="2" t="s">
        <v>168</v>
      </c>
      <c r="C86" s="2" t="s">
        <v>169</v>
      </c>
      <c r="E86" s="2" t="str">
        <f t="shared" si="10"/>
        <v>5000</v>
      </c>
      <c r="F86" s="2" t="b">
        <v>1</v>
      </c>
      <c r="H86" s="5" t="str">
        <f t="shared" si="9"/>
        <v>INSERT INTO `monitoring_alat_berat`.`accounts` (`account_number`, `account_description`, `parent_id`, `level`) VALUES ('5103', '', 1, 2);</v>
      </c>
    </row>
    <row r="87" spans="1:8">
      <c r="A87" s="2" t="s">
        <v>170</v>
      </c>
      <c r="C87" s="2" t="s">
        <v>171</v>
      </c>
      <c r="E87" s="2" t="str">
        <f t="shared" si="10"/>
        <v>5000</v>
      </c>
      <c r="F87" s="2" t="b">
        <v>1</v>
      </c>
      <c r="H87" s="5" t="str">
        <f t="shared" si="9"/>
        <v>INSERT INTO `monitoring_alat_berat`.`accounts` (`account_number`, `account_description`, `parent_id`, `level`) VALUES ('5104', '', 1, 2);</v>
      </c>
    </row>
    <row r="88" spans="1:8">
      <c r="A88" s="2" t="s">
        <v>172</v>
      </c>
      <c r="C88" s="2" t="s">
        <v>173</v>
      </c>
      <c r="E88" s="2" t="str">
        <f t="shared" si="10"/>
        <v>5000</v>
      </c>
      <c r="F88" s="2" t="b">
        <v>1</v>
      </c>
      <c r="H88" s="5" t="str">
        <f t="shared" si="9"/>
        <v>INSERT INTO `monitoring_alat_berat`.`accounts` (`account_number`, `account_description`, `parent_id`, `level`) VALUES ('5105', '', 1, 2);</v>
      </c>
    </row>
    <row r="89" spans="1:8">
      <c r="A89" s="2" t="s">
        <v>174</v>
      </c>
      <c r="C89" s="2" t="s">
        <v>175</v>
      </c>
      <c r="E89" s="2" t="str">
        <f t="shared" si="10"/>
        <v>5000</v>
      </c>
      <c r="F89" s="2" t="b">
        <v>1</v>
      </c>
      <c r="H89" s="5" t="str">
        <f t="shared" si="9"/>
        <v>INSERT INTO `monitoring_alat_berat`.`accounts` (`account_number`, `account_description`, `parent_id`, `level`) VALUES ('5106', '', 1, 2);</v>
      </c>
    </row>
    <row r="90" spans="1:8">
      <c r="A90" s="2" t="s">
        <v>176</v>
      </c>
      <c r="C90" s="2" t="s">
        <v>177</v>
      </c>
      <c r="E90" s="2" t="str">
        <f t="shared" si="10"/>
        <v>5000</v>
      </c>
      <c r="F90" s="2" t="b">
        <v>1</v>
      </c>
      <c r="H90" s="5" t="str">
        <f t="shared" si="9"/>
        <v>INSERT INTO `monitoring_alat_berat`.`accounts` (`account_number`, `account_description`, `parent_id`, `level`) VALUES ('5107', '', 1, 2);</v>
      </c>
    </row>
    <row r="91" spans="1:8">
      <c r="A91" s="2" t="s">
        <v>178</v>
      </c>
      <c r="C91" s="2" t="s">
        <v>179</v>
      </c>
      <c r="E91" s="2" t="str">
        <f t="shared" si="10"/>
        <v>5000</v>
      </c>
      <c r="F91" s="2" t="b">
        <v>1</v>
      </c>
      <c r="H91" s="5" t="str">
        <f t="shared" si="9"/>
        <v>INSERT INTO `monitoring_alat_berat`.`accounts` (`account_number`, `account_description`, `parent_id`, `level`) VALUES ('5108', '', 1, 2);</v>
      </c>
    </row>
    <row r="92" spans="1:8">
      <c r="A92" s="2" t="s">
        <v>180</v>
      </c>
      <c r="C92" s="2" t="s">
        <v>181</v>
      </c>
      <c r="E92" s="2" t="str">
        <f t="shared" si="10"/>
        <v>5000</v>
      </c>
      <c r="F92" s="2" t="b">
        <v>1</v>
      </c>
      <c r="H92" s="5" t="str">
        <f t="shared" si="9"/>
        <v>INSERT INTO `monitoring_alat_berat`.`accounts` (`account_number`, `account_description`, `parent_id`, `level`) VALUES ('5109', '', 1, 2);</v>
      </c>
    </row>
    <row r="93" spans="1:8">
      <c r="A93" s="2" t="s">
        <v>182</v>
      </c>
      <c r="C93" s="2" t="s">
        <v>183</v>
      </c>
      <c r="E93" s="2" t="str">
        <f t="shared" si="10"/>
        <v>5000</v>
      </c>
      <c r="F93" s="2" t="b">
        <v>1</v>
      </c>
      <c r="H93" s="5" t="str">
        <f t="shared" si="9"/>
        <v>INSERT INTO `monitoring_alat_berat`.`accounts` (`account_number`, `account_description`, `parent_id`, `level`) VALUES ('5110', '', 1, 2);</v>
      </c>
    </row>
    <row r="94" spans="1:8">
      <c r="A94" s="2" t="s">
        <v>184</v>
      </c>
      <c r="C94" s="2" t="s">
        <v>185</v>
      </c>
      <c r="E94" s="2" t="str">
        <f t="shared" si="10"/>
        <v>5000</v>
      </c>
      <c r="F94" s="2" t="b">
        <v>1</v>
      </c>
      <c r="H94" s="5" t="str">
        <f t="shared" si="9"/>
        <v>INSERT INTO `monitoring_alat_berat`.`accounts` (`account_number`, `account_description`, `parent_id`, `level`) VALUES ('5111', '', 1, 2);</v>
      </c>
    </row>
    <row r="95" spans="1:8">
      <c r="A95" s="2" t="s">
        <v>186</v>
      </c>
      <c r="C95" s="2" t="s">
        <v>187</v>
      </c>
      <c r="E95" s="2" t="str">
        <f t="shared" si="10"/>
        <v>5000</v>
      </c>
      <c r="F95" s="2" t="b">
        <v>1</v>
      </c>
      <c r="H95" s="5" t="str">
        <f t="shared" si="9"/>
        <v>INSERT INTO `monitoring_alat_berat`.`accounts` (`account_number`, `account_description`, `parent_id`, `level`) VALUES ('5112', '', 1, 2);</v>
      </c>
    </row>
    <row r="96" spans="1:8">
      <c r="A96" s="2" t="s">
        <v>188</v>
      </c>
      <c r="C96" s="2" t="s">
        <v>189</v>
      </c>
      <c r="E96" s="2" t="str">
        <f t="shared" si="10"/>
        <v>5000</v>
      </c>
      <c r="F96" s="2" t="b">
        <v>1</v>
      </c>
      <c r="H96" s="5" t="str">
        <f t="shared" si="9"/>
        <v>INSERT INTO `monitoring_alat_berat`.`accounts` (`account_number`, `account_description`, `parent_id`, `level`) VALUES ('5113', '', 1, 2);</v>
      </c>
    </row>
    <row r="97" spans="1:8">
      <c r="A97" s="2" t="s">
        <v>190</v>
      </c>
      <c r="C97" s="2" t="s">
        <v>191</v>
      </c>
      <c r="E97" s="2" t="str">
        <f t="shared" si="10"/>
        <v>5000</v>
      </c>
      <c r="F97" s="2" t="b">
        <v>1</v>
      </c>
      <c r="H97" s="5" t="str">
        <f t="shared" si="9"/>
        <v>INSERT INTO `monitoring_alat_berat`.`accounts` (`account_number`, `account_description`, `parent_id`, `level`) VALUES ('5114', '', 1, 2);</v>
      </c>
    </row>
    <row r="98" spans="1:8">
      <c r="A98" s="2" t="s">
        <v>192</v>
      </c>
      <c r="C98" s="2" t="s">
        <v>193</v>
      </c>
      <c r="E98" s="2" t="str">
        <f t="shared" si="10"/>
        <v>5000</v>
      </c>
      <c r="F98" s="2" t="b">
        <v>1</v>
      </c>
      <c r="H98" s="5" t="str">
        <f t="shared" si="9"/>
        <v>INSERT INTO `monitoring_alat_berat`.`accounts` (`account_number`, `account_description`, `parent_id`, `level`) VALUES ('5115', '', 1, 2);</v>
      </c>
    </row>
    <row r="99" spans="1:8">
      <c r="A99" s="2" t="s">
        <v>194</v>
      </c>
      <c r="C99" s="2" t="s">
        <v>195</v>
      </c>
      <c r="E99" s="2" t="str">
        <f t="shared" si="10"/>
        <v>5000</v>
      </c>
      <c r="F99" s="2" t="b">
        <v>1</v>
      </c>
      <c r="H99" s="5" t="str">
        <f t="shared" si="9"/>
        <v>INSERT INTO `monitoring_alat_berat`.`accounts` (`account_number`, `account_description`, `parent_id`, `level`) VALUES ('5116', '', 1, 2);</v>
      </c>
    </row>
    <row r="100" spans="1:8">
      <c r="A100" s="2" t="s">
        <v>196</v>
      </c>
      <c r="C100" s="2" t="s">
        <v>197</v>
      </c>
      <c r="E100" s="2" t="str">
        <f t="shared" si="10"/>
        <v>5000</v>
      </c>
      <c r="F100" s="2" t="b">
        <v>1</v>
      </c>
      <c r="H100" s="5" t="str">
        <f t="shared" si="9"/>
        <v>INSERT INTO `monitoring_alat_berat`.`accounts` (`account_number`, `account_description`, `parent_id`, `level`) VALUES ('5117', '', 1, 2);</v>
      </c>
    </row>
    <row r="101" spans="1:8">
      <c r="A101" s="2" t="s">
        <v>198</v>
      </c>
      <c r="C101" s="2" t="s">
        <v>199</v>
      </c>
      <c r="E101" s="2" t="str">
        <f t="shared" si="10"/>
        <v>5000</v>
      </c>
      <c r="F101" s="2" t="b">
        <v>1</v>
      </c>
      <c r="H101" s="5" t="str">
        <f t="shared" si="9"/>
        <v>INSERT INTO `monitoring_alat_berat`.`accounts` (`account_number`, `account_description`, `parent_id`, `level`) VALUES ('5118', '', 1, 2);</v>
      </c>
    </row>
    <row r="102" spans="1:8">
      <c r="A102" s="2" t="s">
        <v>200</v>
      </c>
      <c r="C102" s="2" t="s">
        <v>201</v>
      </c>
      <c r="E102" s="2" t="str">
        <f t="shared" si="10"/>
        <v>5000</v>
      </c>
      <c r="F102" s="2" t="b">
        <v>1</v>
      </c>
      <c r="H102" s="5" t="str">
        <f t="shared" si="9"/>
        <v>INSERT INTO `monitoring_alat_berat`.`accounts` (`account_number`, `account_description`, `parent_id`, `level`) VALUES ('5119', '', 1, 2);</v>
      </c>
    </row>
    <row r="103" spans="1:8">
      <c r="A103" s="2" t="s">
        <v>202</v>
      </c>
      <c r="C103" s="2" t="s">
        <v>203</v>
      </c>
      <c r="E103" s="2" t="str">
        <f t="shared" si="10"/>
        <v>5000</v>
      </c>
      <c r="F103" s="2" t="b">
        <v>1</v>
      </c>
      <c r="H103" s="5" t="str">
        <f t="shared" si="9"/>
        <v>INSERT INTO `monitoring_alat_berat`.`accounts` (`account_number`, `account_description`, `parent_id`, `level`) VALUES ('5120', '', 1, 2);</v>
      </c>
    </row>
    <row r="104" spans="1:8" ht="18">
      <c r="A104" s="1" t="s">
        <v>204</v>
      </c>
      <c r="B104" s="1" t="s">
        <v>205</v>
      </c>
      <c r="D104" s="1"/>
    </row>
    <row r="105" spans="1:8">
      <c r="A105" s="2" t="s">
        <v>206</v>
      </c>
      <c r="C105" s="2" t="s">
        <v>207</v>
      </c>
      <c r="E105" s="2" t="str">
        <f>$A$104</f>
        <v>6000</v>
      </c>
      <c r="F105" s="2" t="b">
        <v>1</v>
      </c>
      <c r="H105" s="5" t="str">
        <f t="shared" ref="H105:H127" si="11">"INSERT INTO `monitoring_alat_berat`.`accounts` (`account_number`, `account_description`, `parent_id`, `level`) VALUES ('"&amp;A105&amp;"', '"&amp;D105&amp;"', 1, 2);"</f>
        <v>INSERT INTO `monitoring_alat_berat`.`accounts` (`account_number`, `account_description`, `parent_id`, `level`) VALUES ('6101', '', 1, 2);</v>
      </c>
    </row>
    <row r="106" spans="1:8">
      <c r="A106" s="2" t="s">
        <v>208</v>
      </c>
      <c r="C106" s="2" t="s">
        <v>209</v>
      </c>
      <c r="E106" s="2" t="str">
        <f t="shared" ref="E106:E127" si="12">$A$104</f>
        <v>6000</v>
      </c>
      <c r="F106" s="2" t="b">
        <v>1</v>
      </c>
      <c r="H106" s="5" t="str">
        <f t="shared" si="11"/>
        <v>INSERT INTO `monitoring_alat_berat`.`accounts` (`account_number`, `account_description`, `parent_id`, `level`) VALUES ('6102', '', 1, 2);</v>
      </c>
    </row>
    <row r="107" spans="1:8" ht="18">
      <c r="A107" s="1" t="s">
        <v>210</v>
      </c>
      <c r="B107" s="1"/>
      <c r="C107" s="1" t="s">
        <v>211</v>
      </c>
      <c r="D107" s="1"/>
      <c r="E107" s="2" t="str">
        <f t="shared" si="12"/>
        <v>6000</v>
      </c>
      <c r="F107" s="2" t="b">
        <v>1</v>
      </c>
      <c r="H107" s="5" t="str">
        <f t="shared" si="11"/>
        <v>INSERT INTO `monitoring_alat_berat`.`accounts` (`account_number`, `account_description`, `parent_id`, `level`) VALUES ('6103', '', 1, 2);</v>
      </c>
    </row>
    <row r="108" spans="1:8" ht="18">
      <c r="A108" s="1" t="s">
        <v>212</v>
      </c>
      <c r="B108" s="1"/>
      <c r="C108" s="1" t="s">
        <v>213</v>
      </c>
      <c r="D108" s="1"/>
      <c r="E108" s="2" t="str">
        <f t="shared" si="12"/>
        <v>6000</v>
      </c>
      <c r="F108" s="2" t="b">
        <v>1</v>
      </c>
      <c r="H108" s="5" t="str">
        <f t="shared" si="11"/>
        <v>INSERT INTO `monitoring_alat_berat`.`accounts` (`account_number`, `account_description`, `parent_id`, `level`) VALUES ('6104', '', 1, 2);</v>
      </c>
    </row>
    <row r="109" spans="1:8">
      <c r="A109" s="2" t="s">
        <v>214</v>
      </c>
      <c r="C109" s="2" t="s">
        <v>215</v>
      </c>
      <c r="E109" s="2" t="str">
        <f t="shared" si="12"/>
        <v>6000</v>
      </c>
      <c r="F109" s="2" t="b">
        <v>1</v>
      </c>
      <c r="H109" s="5" t="str">
        <f t="shared" si="11"/>
        <v>INSERT INTO `monitoring_alat_berat`.`accounts` (`account_number`, `account_description`, `parent_id`, `level`) VALUES ('6105', '', 1, 2);</v>
      </c>
    </row>
    <row r="110" spans="1:8">
      <c r="A110" s="2" t="s">
        <v>216</v>
      </c>
      <c r="C110" s="2" t="s">
        <v>217</v>
      </c>
      <c r="E110" s="2" t="str">
        <f t="shared" si="12"/>
        <v>6000</v>
      </c>
      <c r="F110" s="2" t="b">
        <v>1</v>
      </c>
      <c r="H110" s="5" t="str">
        <f t="shared" si="11"/>
        <v>INSERT INTO `monitoring_alat_berat`.`accounts` (`account_number`, `account_description`, `parent_id`, `level`) VALUES ('6106', '', 1, 2);</v>
      </c>
    </row>
    <row r="111" spans="1:8">
      <c r="A111" s="2" t="s">
        <v>218</v>
      </c>
      <c r="C111" s="2" t="s">
        <v>219</v>
      </c>
      <c r="E111" s="2" t="str">
        <f t="shared" si="12"/>
        <v>6000</v>
      </c>
      <c r="F111" s="2" t="b">
        <v>1</v>
      </c>
      <c r="H111" s="5" t="str">
        <f t="shared" si="11"/>
        <v>INSERT INTO `monitoring_alat_berat`.`accounts` (`account_number`, `account_description`, `parent_id`, `level`) VALUES ('6107', '', 1, 2);</v>
      </c>
    </row>
    <row r="112" spans="1:8">
      <c r="A112" s="2" t="s">
        <v>220</v>
      </c>
      <c r="C112" s="2" t="s">
        <v>221</v>
      </c>
      <c r="E112" s="2" t="str">
        <f t="shared" si="12"/>
        <v>6000</v>
      </c>
      <c r="F112" s="2" t="b">
        <v>1</v>
      </c>
      <c r="H112" s="5" t="str">
        <f t="shared" si="11"/>
        <v>INSERT INTO `monitoring_alat_berat`.`accounts` (`account_number`, `account_description`, `parent_id`, `level`) VALUES ('6108', '', 1, 2);</v>
      </c>
    </row>
    <row r="113" spans="1:8">
      <c r="A113" s="2" t="s">
        <v>222</v>
      </c>
      <c r="C113" s="2" t="s">
        <v>223</v>
      </c>
      <c r="E113" s="2" t="str">
        <f t="shared" si="12"/>
        <v>6000</v>
      </c>
      <c r="F113" s="2" t="b">
        <v>1</v>
      </c>
      <c r="H113" s="5" t="str">
        <f t="shared" si="11"/>
        <v>INSERT INTO `monitoring_alat_berat`.`accounts` (`account_number`, `account_description`, `parent_id`, `level`) VALUES ('6109', '', 1, 2);</v>
      </c>
    </row>
    <row r="114" spans="1:8">
      <c r="A114" s="2" t="s">
        <v>224</v>
      </c>
      <c r="C114" s="2" t="s">
        <v>225</v>
      </c>
      <c r="E114" s="2" t="str">
        <f t="shared" si="12"/>
        <v>6000</v>
      </c>
      <c r="F114" s="2" t="b">
        <v>1</v>
      </c>
      <c r="H114" s="5" t="str">
        <f t="shared" si="11"/>
        <v>INSERT INTO `monitoring_alat_berat`.`accounts` (`account_number`, `account_description`, `parent_id`, `level`) VALUES ('6110', '', 1, 2);</v>
      </c>
    </row>
    <row r="115" spans="1:8">
      <c r="A115" s="2" t="s">
        <v>226</v>
      </c>
      <c r="C115" s="2" t="s">
        <v>227</v>
      </c>
      <c r="E115" s="2" t="str">
        <f t="shared" si="12"/>
        <v>6000</v>
      </c>
      <c r="F115" s="2" t="b">
        <v>1</v>
      </c>
      <c r="H115" s="5" t="str">
        <f t="shared" si="11"/>
        <v>INSERT INTO `monitoring_alat_berat`.`accounts` (`account_number`, `account_description`, `parent_id`, `level`) VALUES ('6111', '', 1, 2);</v>
      </c>
    </row>
    <row r="116" spans="1:8">
      <c r="A116" s="2" t="s">
        <v>228</v>
      </c>
      <c r="C116" s="2" t="s">
        <v>229</v>
      </c>
      <c r="E116" s="2" t="str">
        <f t="shared" si="12"/>
        <v>6000</v>
      </c>
      <c r="F116" s="2" t="b">
        <v>1</v>
      </c>
      <c r="H116" s="5" t="str">
        <f t="shared" si="11"/>
        <v>INSERT INTO `monitoring_alat_berat`.`accounts` (`account_number`, `account_description`, `parent_id`, `level`) VALUES ('6112', '', 1, 2);</v>
      </c>
    </row>
    <row r="117" spans="1:8">
      <c r="A117" s="2" t="s">
        <v>230</v>
      </c>
      <c r="C117" s="2" t="s">
        <v>231</v>
      </c>
      <c r="E117" s="2" t="str">
        <f t="shared" si="12"/>
        <v>6000</v>
      </c>
      <c r="F117" s="2" t="b">
        <v>1</v>
      </c>
      <c r="H117" s="5" t="str">
        <f t="shared" si="11"/>
        <v>INSERT INTO `monitoring_alat_berat`.`accounts` (`account_number`, `account_description`, `parent_id`, `level`) VALUES ('6113', '', 1, 2);</v>
      </c>
    </row>
    <row r="118" spans="1:8">
      <c r="A118" s="2" t="s">
        <v>232</v>
      </c>
      <c r="C118" s="2" t="s">
        <v>233</v>
      </c>
      <c r="E118" s="2" t="str">
        <f t="shared" si="12"/>
        <v>6000</v>
      </c>
      <c r="F118" s="2" t="b">
        <v>1</v>
      </c>
      <c r="H118" s="5" t="str">
        <f t="shared" si="11"/>
        <v>INSERT INTO `monitoring_alat_berat`.`accounts` (`account_number`, `account_description`, `parent_id`, `level`) VALUES ('6114', '', 1, 2);</v>
      </c>
    </row>
    <row r="119" spans="1:8">
      <c r="A119" s="2" t="s">
        <v>234</v>
      </c>
      <c r="C119" s="2" t="s">
        <v>235</v>
      </c>
      <c r="E119" s="2" t="str">
        <f t="shared" si="12"/>
        <v>6000</v>
      </c>
      <c r="F119" s="2" t="b">
        <v>1</v>
      </c>
      <c r="H119" s="5" t="str">
        <f t="shared" si="11"/>
        <v>INSERT INTO `monitoring_alat_berat`.`accounts` (`account_number`, `account_description`, `parent_id`, `level`) VALUES ('6115', '', 1, 2);</v>
      </c>
    </row>
    <row r="120" spans="1:8">
      <c r="A120" s="2" t="s">
        <v>236</v>
      </c>
      <c r="C120" s="2" t="s">
        <v>237</v>
      </c>
      <c r="E120" s="2" t="str">
        <f t="shared" si="12"/>
        <v>6000</v>
      </c>
      <c r="F120" s="2" t="b">
        <v>1</v>
      </c>
      <c r="H120" s="5" t="str">
        <f t="shared" si="11"/>
        <v>INSERT INTO `monitoring_alat_berat`.`accounts` (`account_number`, `account_description`, `parent_id`, `level`) VALUES ('6116', '', 1, 2);</v>
      </c>
    </row>
    <row r="121" spans="1:8">
      <c r="A121" s="2" t="s">
        <v>238</v>
      </c>
      <c r="C121" s="2" t="s">
        <v>239</v>
      </c>
      <c r="E121" s="2" t="str">
        <f t="shared" si="12"/>
        <v>6000</v>
      </c>
      <c r="F121" s="2" t="b">
        <v>1</v>
      </c>
      <c r="H121" s="5" t="str">
        <f t="shared" si="11"/>
        <v>INSERT INTO `monitoring_alat_berat`.`accounts` (`account_number`, `account_description`, `parent_id`, `level`) VALUES ('6117', '', 1, 2);</v>
      </c>
    </row>
    <row r="122" spans="1:8">
      <c r="A122" s="2" t="s">
        <v>240</v>
      </c>
      <c r="C122" s="2" t="s">
        <v>241</v>
      </c>
      <c r="E122" s="2" t="str">
        <f t="shared" si="12"/>
        <v>6000</v>
      </c>
      <c r="F122" s="2" t="b">
        <v>1</v>
      </c>
      <c r="H122" s="5" t="str">
        <f t="shared" si="11"/>
        <v>INSERT INTO `monitoring_alat_berat`.`accounts` (`account_number`, `account_description`, `parent_id`, `level`) VALUES ('6118', '', 1, 2);</v>
      </c>
    </row>
    <row r="123" spans="1:8">
      <c r="A123" s="2" t="s">
        <v>242</v>
      </c>
      <c r="C123" s="2" t="s">
        <v>243</v>
      </c>
      <c r="E123" s="2" t="str">
        <f t="shared" si="12"/>
        <v>6000</v>
      </c>
      <c r="F123" s="2" t="b">
        <v>1</v>
      </c>
      <c r="H123" s="5" t="str">
        <f t="shared" si="11"/>
        <v>INSERT INTO `monitoring_alat_berat`.`accounts` (`account_number`, `account_description`, `parent_id`, `level`) VALUES ('6119', '', 1, 2);</v>
      </c>
    </row>
    <row r="124" spans="1:8">
      <c r="A124" s="2" t="s">
        <v>244</v>
      </c>
      <c r="C124" s="2" t="s">
        <v>245</v>
      </c>
      <c r="E124" s="2" t="str">
        <f t="shared" si="12"/>
        <v>6000</v>
      </c>
      <c r="F124" s="2" t="b">
        <v>1</v>
      </c>
      <c r="H124" s="5" t="str">
        <f t="shared" si="11"/>
        <v>INSERT INTO `monitoring_alat_berat`.`accounts` (`account_number`, `account_description`, `parent_id`, `level`) VALUES ('6120', '', 1, 2);</v>
      </c>
    </row>
    <row r="125" spans="1:8">
      <c r="A125" s="2" t="s">
        <v>246</v>
      </c>
      <c r="C125" s="2" t="s">
        <v>247</v>
      </c>
      <c r="E125" s="2" t="str">
        <f t="shared" si="12"/>
        <v>6000</v>
      </c>
      <c r="F125" s="2" t="b">
        <v>1</v>
      </c>
      <c r="H125" s="5" t="str">
        <f t="shared" si="11"/>
        <v>INSERT INTO `monitoring_alat_berat`.`accounts` (`account_number`, `account_description`, `parent_id`, `level`) VALUES ('6121', '', 1, 2);</v>
      </c>
    </row>
    <row r="126" spans="1:8">
      <c r="A126" s="2" t="s">
        <v>248</v>
      </c>
      <c r="C126" s="2" t="s">
        <v>249</v>
      </c>
      <c r="E126" s="2" t="str">
        <f t="shared" si="12"/>
        <v>6000</v>
      </c>
      <c r="F126" s="2" t="b">
        <v>1</v>
      </c>
      <c r="H126" s="5" t="str">
        <f t="shared" si="11"/>
        <v>INSERT INTO `monitoring_alat_berat`.`accounts` (`account_number`, `account_description`, `parent_id`, `level`) VALUES ('6122', '', 1, 2);</v>
      </c>
    </row>
    <row r="127" spans="1:8">
      <c r="A127" s="2" t="s">
        <v>250</v>
      </c>
      <c r="C127" s="2" t="s">
        <v>251</v>
      </c>
      <c r="E127" s="2" t="str">
        <f t="shared" si="12"/>
        <v>6000</v>
      </c>
      <c r="F127" s="2" t="b">
        <v>1</v>
      </c>
      <c r="H127" s="5" t="str">
        <f t="shared" si="11"/>
        <v>INSERT INTO `monitoring_alat_berat`.`accounts` (`account_number`, `account_description`, `parent_id`, `level`) VALUES ('6123', '', 1, 2);</v>
      </c>
    </row>
    <row r="128" spans="1:8" ht="18">
      <c r="A128" s="1" t="s">
        <v>252</v>
      </c>
      <c r="B128" s="1" t="s">
        <v>253</v>
      </c>
      <c r="D128" s="1"/>
    </row>
    <row r="129" spans="1:8">
      <c r="A129" s="2" t="s">
        <v>254</v>
      </c>
      <c r="C129" s="2" t="s">
        <v>255</v>
      </c>
      <c r="E129" s="2" t="str">
        <f>$A$128</f>
        <v>7000</v>
      </c>
      <c r="F129" s="2" t="b">
        <v>1</v>
      </c>
      <c r="H129" s="5" t="str">
        <f t="shared" ref="H129:H132" si="13">"INSERT INTO `monitoring_alat_berat`.`accounts` (`account_number`, `account_description`, `parent_id`, `level`) VALUES ('"&amp;A129&amp;"', '"&amp;D129&amp;"', 1, 2);"</f>
        <v>INSERT INTO `monitoring_alat_berat`.`accounts` (`account_number`, `account_description`, `parent_id`, `level`) VALUES ('7101', '', 1, 2);</v>
      </c>
    </row>
    <row r="130" spans="1:8">
      <c r="A130" s="2" t="s">
        <v>256</v>
      </c>
      <c r="C130" s="2" t="s">
        <v>257</v>
      </c>
      <c r="E130" s="2" t="str">
        <f>$A$128</f>
        <v>7000</v>
      </c>
      <c r="F130" s="2" t="b">
        <v>1</v>
      </c>
      <c r="H130" s="5" t="str">
        <f t="shared" si="13"/>
        <v>INSERT INTO `monitoring_alat_berat`.`accounts` (`account_number`, `account_description`, `parent_id`, `level`) VALUES ('7102', '', 1, 2);</v>
      </c>
    </row>
    <row r="131" spans="1:8">
      <c r="A131" s="2" t="s">
        <v>258</v>
      </c>
      <c r="C131" s="2" t="s">
        <v>259</v>
      </c>
      <c r="E131" s="2" t="str">
        <f>$A$128</f>
        <v>7000</v>
      </c>
      <c r="F131" s="2" t="b">
        <v>1</v>
      </c>
      <c r="H131" s="5" t="str">
        <f t="shared" si="13"/>
        <v>INSERT INTO `monitoring_alat_berat`.`accounts` (`account_number`, `account_description`, `parent_id`, `level`) VALUES ('7103', '', 1, 2);</v>
      </c>
    </row>
    <row r="132" spans="1:8">
      <c r="A132" s="2" t="s">
        <v>260</v>
      </c>
      <c r="C132" s="2" t="s">
        <v>161</v>
      </c>
      <c r="E132" s="2" t="str">
        <f>$A$128</f>
        <v>7000</v>
      </c>
      <c r="F132" s="2" t="b">
        <v>1</v>
      </c>
      <c r="H132" s="5" t="str">
        <f t="shared" si="13"/>
        <v>INSERT INTO `monitoring_alat_berat`.`accounts` (`account_number`, `account_description`, `parent_id`, `level`) VALUES ('7104', '', 1, 2);</v>
      </c>
    </row>
    <row r="133" spans="1:8" ht="18">
      <c r="A133" s="1" t="s">
        <v>261</v>
      </c>
      <c r="B133" s="1" t="s">
        <v>262</v>
      </c>
      <c r="D133" s="1"/>
    </row>
    <row r="134" spans="1:8">
      <c r="A134" s="2" t="s">
        <v>263</v>
      </c>
      <c r="C134" s="2" t="s">
        <v>264</v>
      </c>
      <c r="E134" s="2" t="str">
        <f>$A$133</f>
        <v>8000</v>
      </c>
      <c r="F134" s="2" t="b">
        <v>1</v>
      </c>
      <c r="H134" s="5" t="str">
        <f t="shared" ref="H134:H140" si="14">"INSERT INTO `monitoring_alat_berat`.`accounts` (`account_number`, `account_description`, `parent_id`, `level`) VALUES ('"&amp;A134&amp;"', '"&amp;D134&amp;"', 1, 2);"</f>
        <v>INSERT INTO `monitoring_alat_berat`.`accounts` (`account_number`, `account_description`, `parent_id`, `level`) VALUES ('8101', '', 1, 2);</v>
      </c>
    </row>
    <row r="135" spans="1:8">
      <c r="A135" s="2" t="s">
        <v>265</v>
      </c>
      <c r="C135" s="2" t="s">
        <v>266</v>
      </c>
      <c r="E135" s="2" t="str">
        <f t="shared" ref="E135:E140" si="15">$A$133</f>
        <v>8000</v>
      </c>
      <c r="F135" s="2" t="b">
        <v>1</v>
      </c>
      <c r="H135" s="5" t="str">
        <f t="shared" si="14"/>
        <v>INSERT INTO `monitoring_alat_berat`.`accounts` (`account_number`, `account_description`, `parent_id`, `level`) VALUES ('8102', '', 1, 2);</v>
      </c>
    </row>
    <row r="136" spans="1:8">
      <c r="A136" s="2" t="s">
        <v>267</v>
      </c>
      <c r="C136" s="2" t="s">
        <v>268</v>
      </c>
      <c r="E136" s="2" t="str">
        <f t="shared" si="15"/>
        <v>8000</v>
      </c>
      <c r="F136" s="2" t="b">
        <v>1</v>
      </c>
      <c r="H136" s="5" t="str">
        <f t="shared" si="14"/>
        <v>INSERT INTO `monitoring_alat_berat`.`accounts` (`account_number`, `account_description`, `parent_id`, `level`) VALUES ('8103', '', 1, 2);</v>
      </c>
    </row>
    <row r="137" spans="1:8">
      <c r="A137" s="2" t="s">
        <v>269</v>
      </c>
      <c r="C137" s="2" t="s">
        <v>270</v>
      </c>
      <c r="E137" s="2" t="str">
        <f t="shared" si="15"/>
        <v>8000</v>
      </c>
      <c r="F137" s="2" t="b">
        <v>1</v>
      </c>
      <c r="H137" s="5" t="str">
        <f t="shared" si="14"/>
        <v>INSERT INTO `monitoring_alat_berat`.`accounts` (`account_number`, `account_description`, `parent_id`, `level`) VALUES ('8104', '', 1, 2);</v>
      </c>
    </row>
    <row r="138" spans="1:8">
      <c r="A138" s="2" t="s">
        <v>271</v>
      </c>
      <c r="C138" s="2" t="s">
        <v>272</v>
      </c>
      <c r="E138" s="2" t="str">
        <f t="shared" si="15"/>
        <v>8000</v>
      </c>
      <c r="F138" s="2" t="b">
        <v>1</v>
      </c>
      <c r="H138" s="5" t="str">
        <f t="shared" si="14"/>
        <v>INSERT INTO `monitoring_alat_berat`.`accounts` (`account_number`, `account_description`, `parent_id`, `level`) VALUES ('8105', '', 1, 2);</v>
      </c>
    </row>
    <row r="139" spans="1:8">
      <c r="A139" s="2" t="s">
        <v>273</v>
      </c>
      <c r="C139" s="2" t="s">
        <v>274</v>
      </c>
      <c r="E139" s="2" t="str">
        <f t="shared" si="15"/>
        <v>8000</v>
      </c>
      <c r="F139" s="2" t="b">
        <v>1</v>
      </c>
      <c r="H139" s="5" t="str">
        <f t="shared" si="14"/>
        <v>INSERT INTO `monitoring_alat_berat`.`accounts` (`account_number`, `account_description`, `parent_id`, `level`) VALUES ('8106', '', 1, 2);</v>
      </c>
    </row>
    <row r="140" spans="1:8">
      <c r="A140" s="2" t="s">
        <v>275</v>
      </c>
      <c r="C140" s="2" t="s">
        <v>276</v>
      </c>
      <c r="E140" s="2" t="str">
        <f t="shared" si="15"/>
        <v>8000</v>
      </c>
      <c r="F140" s="2" t="b">
        <v>1</v>
      </c>
      <c r="H140" s="5" t="str">
        <f>"INSERT INTO `monitoring_alat_berat`.`accounts` (`account_number`, `account_description`, `parent_id`, `level`) VALUES ('"&amp;A140&amp;"', '"&amp;D140&amp;"', 1, 2);"</f>
        <v>INSERT INTO `monitoring_alat_berat`.`accounts` (`account_number`, `account_description`, `parent_id`, `level`) VALUES ('8107', '', 1, 2);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4559-F775-4CBA-8A78-8B6AEDFF510C}">
  <dimension ref="A2:F141"/>
  <sheetViews>
    <sheetView tabSelected="1" topLeftCell="D129" zoomScale="160" zoomScaleNormal="160" workbookViewId="0">
      <selection activeCell="F3" sqref="F3:F141"/>
    </sheetView>
  </sheetViews>
  <sheetFormatPr defaultRowHeight="14.5"/>
  <cols>
    <col min="1" max="1" width="3.81640625" bestFit="1" customWidth="1"/>
    <col min="2" max="2" width="15.08984375" bestFit="1" customWidth="1"/>
    <col min="3" max="3" width="32.08984375" bestFit="1" customWidth="1"/>
  </cols>
  <sheetData>
    <row r="2" spans="1:6">
      <c r="A2" s="6" t="s">
        <v>283</v>
      </c>
      <c r="B2" s="6" t="s">
        <v>284</v>
      </c>
      <c r="C2" s="6" t="s">
        <v>285</v>
      </c>
      <c r="D2" s="6" t="s">
        <v>287</v>
      </c>
      <c r="E2" s="6" t="s">
        <v>286</v>
      </c>
    </row>
    <row r="3" spans="1:6">
      <c r="A3" s="8">
        <v>1</v>
      </c>
      <c r="B3" s="9" t="s">
        <v>4</v>
      </c>
      <c r="C3" s="9" t="s">
        <v>5</v>
      </c>
      <c r="D3" s="8" t="s">
        <v>288</v>
      </c>
      <c r="E3" s="8">
        <v>1</v>
      </c>
      <c r="F3" s="10" t="str">
        <f>"INSERT INTO `monitoring_alat_berat`.`accounts` (`account_number`, `account_description`, `parent_id`, `level`) VALUES ('"&amp;B3&amp;"', '"&amp;C3&amp;"', "&amp;D3&amp;", "&amp;E3&amp;");"</f>
        <v>INSERT INTO `monitoring_alat_berat`.`accounts` (`account_number`, `account_description`, `parent_id`, `level`) VALUES ('1000', 'ASSETS', NULL, 1);</v>
      </c>
    </row>
    <row r="4" spans="1:6">
      <c r="A4">
        <f>A3+1</f>
        <v>2</v>
      </c>
      <c r="B4" s="6" t="s">
        <v>6</v>
      </c>
      <c r="C4" s="6" t="s">
        <v>7</v>
      </c>
      <c r="D4">
        <f>$A$3</f>
        <v>1</v>
      </c>
      <c r="E4">
        <v>1</v>
      </c>
      <c r="F4" s="10" t="str">
        <f t="shared" ref="F4:F67" si="0">"INSERT INTO `monitoring_alat_berat`.`accounts` (`account_number`, `account_description`, `parent_id`, `level`) VALUES ('"&amp;B4&amp;"', '"&amp;C4&amp;"', "&amp;D4&amp;", "&amp;E4&amp;");"</f>
        <v>INSERT INTO `monitoring_alat_berat`.`accounts` (`account_number`, `account_description`, `parent_id`, `level`) VALUES ('1100', 'Current Assets', 1, 1);</v>
      </c>
    </row>
    <row r="5" spans="1:6">
      <c r="A5">
        <f t="shared" ref="A5:A68" si="1">A4+1</f>
        <v>3</v>
      </c>
      <c r="B5" t="s">
        <v>8</v>
      </c>
      <c r="C5" t="s">
        <v>9</v>
      </c>
      <c r="D5">
        <f>$A$4</f>
        <v>2</v>
      </c>
      <c r="E5">
        <v>2</v>
      </c>
      <c r="F5" s="10" t="str">
        <f t="shared" si="0"/>
        <v>INSERT INTO `monitoring_alat_berat`.`accounts` (`account_number`, `account_description`, `parent_id`, `level`) VALUES ('1101', 'Kas Kecil Site', 2, 2);</v>
      </c>
    </row>
    <row r="6" spans="1:6">
      <c r="A6">
        <f t="shared" si="1"/>
        <v>4</v>
      </c>
      <c r="B6" t="s">
        <v>10</v>
      </c>
      <c r="C6" t="s">
        <v>11</v>
      </c>
      <c r="D6">
        <f t="shared" ref="D6:D23" si="2">$A$4</f>
        <v>2</v>
      </c>
      <c r="E6">
        <v>2</v>
      </c>
      <c r="F6" s="10" t="str">
        <f t="shared" si="0"/>
        <v>INSERT INTO `monitoring_alat_berat`.`accounts` (`account_number`, `account_description`, `parent_id`, `level`) VALUES ('1102', 'Kas Kecil Head Office', 2, 2);</v>
      </c>
    </row>
    <row r="7" spans="1:6">
      <c r="A7">
        <f t="shared" si="1"/>
        <v>5</v>
      </c>
      <c r="B7" t="s">
        <v>12</v>
      </c>
      <c r="C7" t="s">
        <v>13</v>
      </c>
      <c r="D7">
        <f t="shared" si="2"/>
        <v>2</v>
      </c>
      <c r="E7">
        <v>2</v>
      </c>
      <c r="F7" s="10" t="str">
        <f t="shared" si="0"/>
        <v>INSERT INTO `monitoring_alat_berat`.`accounts` (`account_number`, `account_description`, `parent_id`, `level`) VALUES ('1103', 'Bank Mandiri', 2, 2);</v>
      </c>
    </row>
    <row r="8" spans="1:6">
      <c r="A8">
        <f t="shared" si="1"/>
        <v>6</v>
      </c>
      <c r="B8" t="s">
        <v>14</v>
      </c>
      <c r="C8" t="s">
        <v>15</v>
      </c>
      <c r="D8">
        <f t="shared" si="2"/>
        <v>2</v>
      </c>
      <c r="E8">
        <v>2</v>
      </c>
      <c r="F8" s="10" t="str">
        <f t="shared" si="0"/>
        <v>INSERT INTO `monitoring_alat_berat`.`accounts` (`account_number`, `account_description`, `parent_id`, `level`) VALUES ('1104', 'Bank BNI', 2, 2);</v>
      </c>
    </row>
    <row r="9" spans="1:6">
      <c r="A9">
        <f t="shared" si="1"/>
        <v>7</v>
      </c>
      <c r="B9" t="s">
        <v>16</v>
      </c>
      <c r="C9" t="s">
        <v>17</v>
      </c>
      <c r="D9">
        <f t="shared" si="2"/>
        <v>2</v>
      </c>
      <c r="E9">
        <v>2</v>
      </c>
      <c r="F9" s="10" t="str">
        <f t="shared" si="0"/>
        <v>INSERT INTO `monitoring_alat_berat`.`accounts` (`account_number`, `account_description`, `parent_id`, `level`) VALUES ('1105', 'Bank BCA', 2, 2);</v>
      </c>
    </row>
    <row r="10" spans="1:6">
      <c r="A10">
        <f t="shared" si="1"/>
        <v>8</v>
      </c>
      <c r="B10" t="s">
        <v>18</v>
      </c>
      <c r="C10" t="s">
        <v>19</v>
      </c>
      <c r="D10">
        <f t="shared" si="2"/>
        <v>2</v>
      </c>
      <c r="E10">
        <v>2</v>
      </c>
      <c r="F10" s="10" t="str">
        <f t="shared" si="0"/>
        <v>INSERT INTO `monitoring_alat_berat`.`accounts` (`account_number`, `account_description`, `parent_id`, `level`) VALUES ('1106', 'Piutang Usaha', 2, 2);</v>
      </c>
    </row>
    <row r="11" spans="1:6">
      <c r="A11">
        <f t="shared" si="1"/>
        <v>9</v>
      </c>
      <c r="B11" t="s">
        <v>20</v>
      </c>
      <c r="C11" t="s">
        <v>21</v>
      </c>
      <c r="D11">
        <f t="shared" si="2"/>
        <v>2</v>
      </c>
      <c r="E11">
        <v>2</v>
      </c>
      <c r="F11" s="10" t="str">
        <f t="shared" si="0"/>
        <v>INSERT INTO `monitoring_alat_berat`.`accounts` (`account_number`, `account_description`, `parent_id`, `level`) VALUES ('1107', 'Piutang Karyawan', 2, 2);</v>
      </c>
    </row>
    <row r="12" spans="1:6">
      <c r="A12">
        <f t="shared" si="1"/>
        <v>10</v>
      </c>
      <c r="B12" t="s">
        <v>22</v>
      </c>
      <c r="C12" t="s">
        <v>23</v>
      </c>
      <c r="D12">
        <f t="shared" si="2"/>
        <v>2</v>
      </c>
      <c r="E12">
        <v>2</v>
      </c>
      <c r="F12" s="10" t="str">
        <f t="shared" si="0"/>
        <v>INSERT INTO `monitoring_alat_berat`.`accounts` (`account_number`, `account_description`, `parent_id`, `level`) VALUES ('1108', 'Piutang Lain-lain', 2, 2);</v>
      </c>
    </row>
    <row r="13" spans="1:6">
      <c r="A13">
        <f t="shared" si="1"/>
        <v>11</v>
      </c>
      <c r="B13" t="s">
        <v>24</v>
      </c>
      <c r="C13" t="s">
        <v>25</v>
      </c>
      <c r="D13">
        <f t="shared" si="2"/>
        <v>2</v>
      </c>
      <c r="E13">
        <v>2</v>
      </c>
      <c r="F13" s="10" t="str">
        <f t="shared" si="0"/>
        <v>INSERT INTO `monitoring_alat_berat`.`accounts` (`account_number`, `account_description`, `parent_id`, `level`) VALUES ('1109', 'Persediaan Solar', 2, 2);</v>
      </c>
    </row>
    <row r="14" spans="1:6">
      <c r="A14">
        <f t="shared" si="1"/>
        <v>12</v>
      </c>
      <c r="B14" t="s">
        <v>26</v>
      </c>
      <c r="C14" t="s">
        <v>27</v>
      </c>
      <c r="D14">
        <f t="shared" si="2"/>
        <v>2</v>
      </c>
      <c r="E14">
        <v>2</v>
      </c>
      <c r="F14" s="10" t="str">
        <f t="shared" si="0"/>
        <v>INSERT INTO `monitoring_alat_berat`.`accounts` (`account_number`, `account_description`, `parent_id`, `level`) VALUES ('1110', 'Persediaan Oli &amp; Grease', 2, 2);</v>
      </c>
    </row>
    <row r="15" spans="1:6">
      <c r="A15">
        <f t="shared" si="1"/>
        <v>13</v>
      </c>
      <c r="B15" t="s">
        <v>28</v>
      </c>
      <c r="C15" t="s">
        <v>29</v>
      </c>
      <c r="D15">
        <f t="shared" si="2"/>
        <v>2</v>
      </c>
      <c r="E15">
        <v>2</v>
      </c>
      <c r="F15" s="10" t="str">
        <f t="shared" si="0"/>
        <v>INSERT INTO `monitoring_alat_berat`.`accounts` (`account_number`, `account_description`, `parent_id`, `level`) VALUES ('1111', 'Persediaan Sparepart', 2, 2);</v>
      </c>
    </row>
    <row r="16" spans="1:6">
      <c r="A16">
        <f t="shared" si="1"/>
        <v>14</v>
      </c>
      <c r="B16" t="s">
        <v>30</v>
      </c>
      <c r="C16" t="s">
        <v>31</v>
      </c>
      <c r="D16">
        <f t="shared" si="2"/>
        <v>2</v>
      </c>
      <c r="E16">
        <v>2</v>
      </c>
      <c r="F16" s="10" t="str">
        <f t="shared" si="0"/>
        <v>INSERT INTO `monitoring_alat_berat`.`accounts` (`account_number`, `account_description`, `parent_id`, `level`) VALUES ('1112', 'Persediaan Ban', 2, 2);</v>
      </c>
    </row>
    <row r="17" spans="1:6">
      <c r="A17">
        <f t="shared" si="1"/>
        <v>15</v>
      </c>
      <c r="B17" t="s">
        <v>32</v>
      </c>
      <c r="C17" t="s">
        <v>33</v>
      </c>
      <c r="D17">
        <f t="shared" si="2"/>
        <v>2</v>
      </c>
      <c r="E17">
        <v>2</v>
      </c>
      <c r="F17" s="10" t="str">
        <f t="shared" si="0"/>
        <v>INSERT INTO `monitoring_alat_berat`.`accounts` (`account_number`, `account_description`, `parent_id`, `level`) VALUES ('1113', 'Uang Muka Supplier', 2, 2);</v>
      </c>
    </row>
    <row r="18" spans="1:6">
      <c r="A18">
        <f t="shared" si="1"/>
        <v>16</v>
      </c>
      <c r="B18" t="s">
        <v>34</v>
      </c>
      <c r="C18" t="s">
        <v>35</v>
      </c>
      <c r="D18">
        <f t="shared" si="2"/>
        <v>2</v>
      </c>
      <c r="E18">
        <v>2</v>
      </c>
      <c r="F18" s="10" t="str">
        <f t="shared" si="0"/>
        <v>INSERT INTO `monitoring_alat_berat`.`accounts` (`account_number`, `account_description`, `parent_id`, `level`) VALUES ('1114', 'Uang Muka Pembelian Alat', 2, 2);</v>
      </c>
    </row>
    <row r="19" spans="1:6">
      <c r="A19">
        <f t="shared" si="1"/>
        <v>17</v>
      </c>
      <c r="B19" t="s">
        <v>36</v>
      </c>
      <c r="C19" t="s">
        <v>37</v>
      </c>
      <c r="D19">
        <f t="shared" si="2"/>
        <v>2</v>
      </c>
      <c r="E19">
        <v>2</v>
      </c>
      <c r="F19" s="10" t="str">
        <f t="shared" si="0"/>
        <v>INSERT INTO `monitoring_alat_berat`.`accounts` (`account_number`, `account_description`, `parent_id`, `level`) VALUES ('1115', 'Biaya Dibayar Dimuka', 2, 2);</v>
      </c>
    </row>
    <row r="20" spans="1:6">
      <c r="A20">
        <f t="shared" si="1"/>
        <v>18</v>
      </c>
      <c r="B20" t="s">
        <v>38</v>
      </c>
      <c r="C20" t="s">
        <v>39</v>
      </c>
      <c r="D20">
        <f t="shared" si="2"/>
        <v>2</v>
      </c>
      <c r="E20">
        <v>2</v>
      </c>
      <c r="F20" s="10" t="str">
        <f t="shared" si="0"/>
        <v>INSERT INTO `monitoring_alat_berat`.`accounts` (`account_number`, `account_description`, `parent_id`, `level`) VALUES ('1116', 'PPN Masukan', 2, 2);</v>
      </c>
    </row>
    <row r="21" spans="1:6">
      <c r="A21">
        <f t="shared" si="1"/>
        <v>19</v>
      </c>
      <c r="B21" t="s">
        <v>40</v>
      </c>
      <c r="C21" t="s">
        <v>41</v>
      </c>
      <c r="D21">
        <f t="shared" si="2"/>
        <v>2</v>
      </c>
      <c r="E21">
        <v>2</v>
      </c>
      <c r="F21" s="10" t="str">
        <f t="shared" si="0"/>
        <v>INSERT INTO `monitoring_alat_berat`.`accounts` (`account_number`, `account_description`, `parent_id`, `level`) VALUES ('1117', 'Pajak Dibayar Dimuka', 2, 2);</v>
      </c>
    </row>
    <row r="22" spans="1:6">
      <c r="A22">
        <f t="shared" si="1"/>
        <v>20</v>
      </c>
      <c r="B22" t="s">
        <v>42</v>
      </c>
      <c r="C22" t="s">
        <v>43</v>
      </c>
      <c r="D22">
        <f t="shared" si="2"/>
        <v>2</v>
      </c>
      <c r="E22">
        <v>2</v>
      </c>
      <c r="F22" s="10" t="str">
        <f t="shared" si="0"/>
        <v>INSERT INTO `monitoring_alat_berat`.`accounts` (`account_number`, `account_description`, `parent_id`, `level`) VALUES ('1118', 'Deposito', 2, 2);</v>
      </c>
    </row>
    <row r="23" spans="1:6">
      <c r="A23">
        <f t="shared" si="1"/>
        <v>21</v>
      </c>
      <c r="B23" t="s">
        <v>277</v>
      </c>
      <c r="C23" t="s">
        <v>278</v>
      </c>
      <c r="D23">
        <f t="shared" si="2"/>
        <v>2</v>
      </c>
      <c r="E23">
        <v>2</v>
      </c>
      <c r="F23" s="10" t="str">
        <f t="shared" si="0"/>
        <v>INSERT INTO `monitoring_alat_berat`.`accounts` (`account_number`, `account_description`, `parent_id`, `level`) VALUES ('1119', 'Aktiva Pajak Tangguhan', 2, 2);</v>
      </c>
    </row>
    <row r="24" spans="1:6">
      <c r="A24">
        <f t="shared" si="1"/>
        <v>22</v>
      </c>
      <c r="B24" s="6" t="s">
        <v>44</v>
      </c>
      <c r="C24" s="6" t="s">
        <v>45</v>
      </c>
      <c r="D24">
        <f>$A$3</f>
        <v>1</v>
      </c>
      <c r="E24">
        <v>1</v>
      </c>
      <c r="F24" s="10" t="str">
        <f t="shared" si="0"/>
        <v>INSERT INTO `monitoring_alat_berat`.`accounts` (`account_number`, `account_description`, `parent_id`, `level`) VALUES ('1200', 'Fixed Assets', 1, 1);</v>
      </c>
    </row>
    <row r="25" spans="1:6">
      <c r="A25">
        <f t="shared" si="1"/>
        <v>23</v>
      </c>
      <c r="B25" t="s">
        <v>46</v>
      </c>
      <c r="C25" t="s">
        <v>47</v>
      </c>
      <c r="D25">
        <f>$A$24</f>
        <v>22</v>
      </c>
      <c r="E25">
        <v>2</v>
      </c>
      <c r="F25" s="10" t="str">
        <f t="shared" si="0"/>
        <v>INSERT INTO `monitoring_alat_berat`.`accounts` (`account_number`, `account_description`, `parent_id`, `level`) VALUES ('1201', 'Excavator', 22, 2);</v>
      </c>
    </row>
    <row r="26" spans="1:6">
      <c r="A26">
        <f t="shared" si="1"/>
        <v>24</v>
      </c>
      <c r="B26" t="s">
        <v>48</v>
      </c>
      <c r="C26" t="s">
        <v>49</v>
      </c>
      <c r="D26">
        <f t="shared" ref="D26:D38" si="3">$A$24</f>
        <v>22</v>
      </c>
      <c r="E26">
        <v>2</v>
      </c>
      <c r="F26" s="10" t="str">
        <f t="shared" si="0"/>
        <v>INSERT INTO `monitoring_alat_berat`.`accounts` (`account_number`, `account_description`, `parent_id`, `level`) VALUES ('1202', 'Bulldozer', 22, 2);</v>
      </c>
    </row>
    <row r="27" spans="1:6">
      <c r="A27">
        <f t="shared" si="1"/>
        <v>25</v>
      </c>
      <c r="B27" t="s">
        <v>50</v>
      </c>
      <c r="C27" t="s">
        <v>51</v>
      </c>
      <c r="D27">
        <f t="shared" si="3"/>
        <v>22</v>
      </c>
      <c r="E27">
        <v>2</v>
      </c>
      <c r="F27" s="10" t="str">
        <f t="shared" si="0"/>
        <v>INSERT INTO `monitoring_alat_berat`.`accounts` (`account_number`, `account_description`, `parent_id`, `level`) VALUES ('1203', 'Dump Truck', 22, 2);</v>
      </c>
    </row>
    <row r="28" spans="1:6">
      <c r="A28">
        <f t="shared" si="1"/>
        <v>26</v>
      </c>
      <c r="B28" t="s">
        <v>52</v>
      </c>
      <c r="C28" t="s">
        <v>53</v>
      </c>
      <c r="D28">
        <f t="shared" si="3"/>
        <v>22</v>
      </c>
      <c r="E28">
        <v>2</v>
      </c>
      <c r="F28" s="10" t="str">
        <f t="shared" si="0"/>
        <v>INSERT INTO `monitoring_alat_berat`.`accounts` (`account_number`, `account_description`, `parent_id`, `level`) VALUES ('1204', 'Wheel Loader', 22, 2);</v>
      </c>
    </row>
    <row r="29" spans="1:6">
      <c r="A29">
        <f t="shared" si="1"/>
        <v>27</v>
      </c>
      <c r="B29" t="s">
        <v>54</v>
      </c>
      <c r="C29" t="s">
        <v>55</v>
      </c>
      <c r="D29">
        <f t="shared" si="3"/>
        <v>22</v>
      </c>
      <c r="E29">
        <v>2</v>
      </c>
      <c r="F29" s="10" t="str">
        <f t="shared" si="0"/>
        <v>INSERT INTO `monitoring_alat_berat`.`accounts` (`account_number`, `account_description`, `parent_id`, `level`) VALUES ('1205', 'Motor Grader', 22, 2);</v>
      </c>
    </row>
    <row r="30" spans="1:6">
      <c r="A30">
        <f t="shared" si="1"/>
        <v>28</v>
      </c>
      <c r="B30" t="s">
        <v>56</v>
      </c>
      <c r="C30" t="s">
        <v>57</v>
      </c>
      <c r="D30">
        <f t="shared" si="3"/>
        <v>22</v>
      </c>
      <c r="E30">
        <v>2</v>
      </c>
      <c r="F30" s="10" t="str">
        <f t="shared" si="0"/>
        <v>INSERT INTO `monitoring_alat_berat`.`accounts` (`account_number`, `account_description`, `parent_id`, `level`) VALUES ('1206', 'Vibro Roller', 22, 2);</v>
      </c>
    </row>
    <row r="31" spans="1:6">
      <c r="A31">
        <f t="shared" si="1"/>
        <v>29</v>
      </c>
      <c r="B31" t="s">
        <v>58</v>
      </c>
      <c r="C31" t="s">
        <v>59</v>
      </c>
      <c r="D31">
        <f t="shared" si="3"/>
        <v>22</v>
      </c>
      <c r="E31">
        <v>2</v>
      </c>
      <c r="F31" s="10" t="str">
        <f t="shared" si="0"/>
        <v>INSERT INTO `monitoring_alat_berat`.`accounts` (`account_number`, `account_description`, `parent_id`, `level`) VALUES ('1207', 'Water Truck', 22, 2);</v>
      </c>
    </row>
    <row r="32" spans="1:6">
      <c r="A32">
        <f t="shared" si="1"/>
        <v>30</v>
      </c>
      <c r="B32" t="s">
        <v>60</v>
      </c>
      <c r="C32" t="s">
        <v>61</v>
      </c>
      <c r="D32">
        <f t="shared" si="3"/>
        <v>22</v>
      </c>
      <c r="E32">
        <v>2</v>
      </c>
      <c r="F32" s="10" t="str">
        <f t="shared" si="0"/>
        <v>INSERT INTO `monitoring_alat_berat`.`accounts` (`account_number`, `account_description`, `parent_id`, `level`) VALUES ('1208', 'Low Bed Trailer', 22, 2);</v>
      </c>
    </row>
    <row r="33" spans="1:6">
      <c r="A33">
        <f t="shared" si="1"/>
        <v>31</v>
      </c>
      <c r="B33" t="s">
        <v>62</v>
      </c>
      <c r="C33" t="s">
        <v>63</v>
      </c>
      <c r="D33">
        <f t="shared" si="3"/>
        <v>22</v>
      </c>
      <c r="E33">
        <v>2</v>
      </c>
      <c r="F33" s="10" t="str">
        <f t="shared" si="0"/>
        <v>INSERT INTO `monitoring_alat_berat`.`accounts` (`account_number`, `account_description`, `parent_id`, `level`) VALUES ('1209', 'Kendaraan Operasional', 22, 2);</v>
      </c>
    </row>
    <row r="34" spans="1:6">
      <c r="A34">
        <f t="shared" si="1"/>
        <v>32</v>
      </c>
      <c r="B34" t="s">
        <v>64</v>
      </c>
      <c r="C34" t="s">
        <v>65</v>
      </c>
      <c r="D34">
        <f t="shared" si="3"/>
        <v>22</v>
      </c>
      <c r="E34">
        <v>2</v>
      </c>
      <c r="F34" s="10" t="str">
        <f t="shared" si="0"/>
        <v>INSERT INTO `monitoring_alat_berat`.`accounts` (`account_number`, `account_description`, `parent_id`, `level`) VALUES ('1210', 'Bangunan', 22, 2);</v>
      </c>
    </row>
    <row r="35" spans="1:6">
      <c r="A35">
        <f t="shared" si="1"/>
        <v>33</v>
      </c>
      <c r="B35" t="s">
        <v>66</v>
      </c>
      <c r="C35" t="s">
        <v>67</v>
      </c>
      <c r="D35">
        <f t="shared" si="3"/>
        <v>22</v>
      </c>
      <c r="E35">
        <v>2</v>
      </c>
      <c r="F35" s="10" t="str">
        <f t="shared" si="0"/>
        <v>INSERT INTO `monitoring_alat_berat`.`accounts` (`account_number`, `account_description`, `parent_id`, `level`) VALUES ('1211', 'Peralatan Kantor', 22, 2);</v>
      </c>
    </row>
    <row r="36" spans="1:6">
      <c r="A36">
        <f t="shared" si="1"/>
        <v>34</v>
      </c>
      <c r="B36" t="s">
        <v>68</v>
      </c>
      <c r="C36" t="s">
        <v>69</v>
      </c>
      <c r="D36">
        <f t="shared" si="3"/>
        <v>22</v>
      </c>
      <c r="E36">
        <v>2</v>
      </c>
      <c r="F36" s="10" t="str">
        <f t="shared" si="0"/>
        <v>INSERT INTO `monitoring_alat_berat`.`accounts` (`account_number`, `account_description`, `parent_id`, `level`) VALUES ('1212', 'Inventaris Kantor', 22, 2);</v>
      </c>
    </row>
    <row r="37" spans="1:6">
      <c r="A37">
        <f t="shared" si="1"/>
        <v>35</v>
      </c>
      <c r="B37" s="6" t="s">
        <v>70</v>
      </c>
      <c r="C37" s="6" t="s">
        <v>71</v>
      </c>
      <c r="D37">
        <v>1</v>
      </c>
      <c r="E37">
        <v>1</v>
      </c>
      <c r="F37" s="10" t="str">
        <f t="shared" si="0"/>
        <v>INSERT INTO `monitoring_alat_berat`.`accounts` (`account_number`, `account_description`, `parent_id`, `level`) VALUES ('1300', 'Accumulated Depreciation', 1, 1);</v>
      </c>
    </row>
    <row r="38" spans="1:6">
      <c r="A38">
        <f t="shared" si="1"/>
        <v>36</v>
      </c>
      <c r="B38" t="s">
        <v>72</v>
      </c>
      <c r="C38" t="s">
        <v>73</v>
      </c>
      <c r="D38">
        <f>$A$37</f>
        <v>35</v>
      </c>
      <c r="E38">
        <v>2</v>
      </c>
      <c r="F38" s="10" t="str">
        <f t="shared" si="0"/>
        <v>INSERT INTO `monitoring_alat_berat`.`accounts` (`account_number`, `account_description`, `parent_id`, `level`) VALUES ('1301', 'Akumulasi Penyusutan Excavator', 35, 2);</v>
      </c>
    </row>
    <row r="39" spans="1:6">
      <c r="A39">
        <f t="shared" si="1"/>
        <v>37</v>
      </c>
      <c r="B39" t="s">
        <v>74</v>
      </c>
      <c r="C39" t="s">
        <v>75</v>
      </c>
      <c r="D39">
        <f t="shared" ref="D39:D44" si="4">$A$37</f>
        <v>35</v>
      </c>
      <c r="E39">
        <v>2</v>
      </c>
      <c r="F39" s="10" t="str">
        <f t="shared" si="0"/>
        <v>INSERT INTO `monitoring_alat_berat`.`accounts` (`account_number`, `account_description`, `parent_id`, `level`) VALUES ('1302', 'Akumulasi Penyusutan Bulldozer', 35, 2);</v>
      </c>
    </row>
    <row r="40" spans="1:6">
      <c r="A40">
        <f t="shared" si="1"/>
        <v>38</v>
      </c>
      <c r="B40" t="s">
        <v>76</v>
      </c>
      <c r="C40" t="s">
        <v>77</v>
      </c>
      <c r="D40">
        <f t="shared" si="4"/>
        <v>35</v>
      </c>
      <c r="E40">
        <v>2</v>
      </c>
      <c r="F40" s="10" t="str">
        <f t="shared" si="0"/>
        <v>INSERT INTO `monitoring_alat_berat`.`accounts` (`account_number`, `account_description`, `parent_id`, `level`) VALUES ('1303', 'Akumulasi Penyusutan Dump Truck', 35, 2);</v>
      </c>
    </row>
    <row r="41" spans="1:6">
      <c r="A41">
        <f t="shared" si="1"/>
        <v>39</v>
      </c>
      <c r="B41" t="s">
        <v>78</v>
      </c>
      <c r="C41" t="s">
        <v>79</v>
      </c>
      <c r="D41">
        <f t="shared" si="4"/>
        <v>35</v>
      </c>
      <c r="E41">
        <v>2</v>
      </c>
      <c r="F41" s="10" t="str">
        <f t="shared" si="0"/>
        <v>INSERT INTO `monitoring_alat_berat`.`accounts` (`account_number`, `account_description`, `parent_id`, `level`) VALUES ('1304', 'Akumulasi Penyusutan Wheel Loader', 35, 2);</v>
      </c>
    </row>
    <row r="42" spans="1:6">
      <c r="A42">
        <f t="shared" si="1"/>
        <v>40</v>
      </c>
      <c r="B42" t="s">
        <v>80</v>
      </c>
      <c r="C42" t="s">
        <v>81</v>
      </c>
      <c r="D42">
        <f t="shared" si="4"/>
        <v>35</v>
      </c>
      <c r="E42">
        <v>2</v>
      </c>
      <c r="F42" s="10" t="str">
        <f t="shared" si="0"/>
        <v>INSERT INTO `monitoring_alat_berat`.`accounts` (`account_number`, `account_description`, `parent_id`, `level`) VALUES ('1305', 'Akumulasi Penyusutan Kendaraan', 35, 2);</v>
      </c>
    </row>
    <row r="43" spans="1:6">
      <c r="A43">
        <f t="shared" si="1"/>
        <v>41</v>
      </c>
      <c r="B43" t="s">
        <v>82</v>
      </c>
      <c r="C43" t="s">
        <v>83</v>
      </c>
      <c r="D43">
        <f t="shared" si="4"/>
        <v>35</v>
      </c>
      <c r="E43">
        <v>2</v>
      </c>
      <c r="F43" s="10" t="str">
        <f t="shared" si="0"/>
        <v>INSERT INTO `monitoring_alat_berat`.`accounts` (`account_number`, `account_description`, `parent_id`, `level`) VALUES ('1306', 'Akumulasi Penyusutan Bangunan', 35, 2);</v>
      </c>
    </row>
    <row r="44" spans="1:6">
      <c r="A44">
        <f t="shared" si="1"/>
        <v>42</v>
      </c>
      <c r="B44" t="s">
        <v>84</v>
      </c>
      <c r="C44" t="s">
        <v>85</v>
      </c>
      <c r="D44">
        <f t="shared" si="4"/>
        <v>35</v>
      </c>
      <c r="E44">
        <v>2</v>
      </c>
      <c r="F44" s="10" t="str">
        <f t="shared" si="0"/>
        <v>INSERT INTO `monitoring_alat_berat`.`accounts` (`account_number`, `account_description`, `parent_id`, `level`) VALUES ('1307', 'Akumulasi Penyusutan Inventaris', 35, 2);</v>
      </c>
    </row>
    <row r="45" spans="1:6">
      <c r="A45" s="8">
        <f t="shared" si="1"/>
        <v>43</v>
      </c>
      <c r="B45" s="9" t="s">
        <v>86</v>
      </c>
      <c r="C45" s="9" t="s">
        <v>87</v>
      </c>
      <c r="D45" s="8" t="s">
        <v>288</v>
      </c>
      <c r="E45" s="8">
        <v>1</v>
      </c>
      <c r="F45" s="10" t="str">
        <f t="shared" si="0"/>
        <v>INSERT INTO `monitoring_alat_berat`.`accounts` (`account_number`, `account_description`, `parent_id`, `level`) VALUES ('2000', 'LIABILITIES', NULL, 1);</v>
      </c>
    </row>
    <row r="46" spans="1:6">
      <c r="A46">
        <f t="shared" si="1"/>
        <v>44</v>
      </c>
      <c r="B46" s="6" t="s">
        <v>88</v>
      </c>
      <c r="C46" s="6" t="s">
        <v>89</v>
      </c>
      <c r="D46">
        <f>$A$45</f>
        <v>43</v>
      </c>
      <c r="E46">
        <v>1</v>
      </c>
      <c r="F46" s="10" t="str">
        <f t="shared" si="0"/>
        <v>INSERT INTO `monitoring_alat_berat`.`accounts` (`account_number`, `account_description`, `parent_id`, `level`) VALUES ('2100', 'Current Liabilities', 43, 1);</v>
      </c>
    </row>
    <row r="47" spans="1:6">
      <c r="A47">
        <f t="shared" si="1"/>
        <v>45</v>
      </c>
      <c r="B47" t="s">
        <v>90</v>
      </c>
      <c r="C47" t="s">
        <v>91</v>
      </c>
      <c r="D47">
        <f>$A$46</f>
        <v>44</v>
      </c>
      <c r="E47">
        <v>2</v>
      </c>
      <c r="F47" s="10" t="str">
        <f t="shared" si="0"/>
        <v>INSERT INTO `monitoring_alat_berat`.`accounts` (`account_number`, `account_description`, `parent_id`, `level`) VALUES ('2101', 'Hutang Usaha', 44, 2);</v>
      </c>
    </row>
    <row r="48" spans="1:6">
      <c r="A48">
        <f t="shared" si="1"/>
        <v>46</v>
      </c>
      <c r="B48" t="s">
        <v>92</v>
      </c>
      <c r="C48" t="s">
        <v>93</v>
      </c>
      <c r="D48">
        <f t="shared" ref="D48:D58" si="5">$A$46</f>
        <v>44</v>
      </c>
      <c r="E48">
        <v>2</v>
      </c>
      <c r="F48" s="10" t="str">
        <f t="shared" si="0"/>
        <v>INSERT INTO `monitoring_alat_berat`.`accounts` (`account_number`, `account_description`, `parent_id`, `level`) VALUES ('2102', 'Hutang Solar', 44, 2);</v>
      </c>
    </row>
    <row r="49" spans="1:6">
      <c r="A49">
        <f t="shared" si="1"/>
        <v>47</v>
      </c>
      <c r="B49" t="s">
        <v>94</v>
      </c>
      <c r="C49" t="s">
        <v>95</v>
      </c>
      <c r="D49">
        <f t="shared" si="5"/>
        <v>44</v>
      </c>
      <c r="E49">
        <v>2</v>
      </c>
      <c r="F49" s="10" t="str">
        <f t="shared" si="0"/>
        <v>INSERT INTO `monitoring_alat_berat`.`accounts` (`account_number`, `account_description`, `parent_id`, `level`) VALUES ('2103', 'Hutang Sparepart', 44, 2);</v>
      </c>
    </row>
    <row r="50" spans="1:6">
      <c r="A50">
        <f t="shared" si="1"/>
        <v>48</v>
      </c>
      <c r="B50" t="s">
        <v>96</v>
      </c>
      <c r="C50" t="s">
        <v>97</v>
      </c>
      <c r="D50">
        <f t="shared" si="5"/>
        <v>44</v>
      </c>
      <c r="E50">
        <v>2</v>
      </c>
      <c r="F50" s="10" t="str">
        <f t="shared" si="0"/>
        <v>INSERT INTO `monitoring_alat_berat`.`accounts` (`account_number`, `account_description`, `parent_id`, `level`) VALUES ('2104', 'Hutang Gaji', 44, 2);</v>
      </c>
    </row>
    <row r="51" spans="1:6">
      <c r="A51">
        <f t="shared" si="1"/>
        <v>49</v>
      </c>
      <c r="B51" t="s">
        <v>98</v>
      </c>
      <c r="C51" t="s">
        <v>99</v>
      </c>
      <c r="D51">
        <f t="shared" si="5"/>
        <v>44</v>
      </c>
      <c r="E51">
        <v>2</v>
      </c>
      <c r="F51" s="10" t="str">
        <f t="shared" si="0"/>
        <v>INSERT INTO `monitoring_alat_berat`.`accounts` (`account_number`, `account_description`, `parent_id`, `level`) VALUES ('2105', 'Hutang BPJS', 44, 2);</v>
      </c>
    </row>
    <row r="52" spans="1:6">
      <c r="A52">
        <f t="shared" si="1"/>
        <v>50</v>
      </c>
      <c r="B52" t="s">
        <v>100</v>
      </c>
      <c r="C52" t="s">
        <v>101</v>
      </c>
      <c r="D52">
        <f t="shared" si="5"/>
        <v>44</v>
      </c>
      <c r="E52">
        <v>2</v>
      </c>
      <c r="F52" s="10" t="str">
        <f t="shared" si="0"/>
        <v>INSERT INTO `monitoring_alat_berat`.`accounts` (`account_number`, `account_description`, `parent_id`, `level`) VALUES ('2106', 'Hutang PPN', 44, 2);</v>
      </c>
    </row>
    <row r="53" spans="1:6">
      <c r="A53">
        <f t="shared" si="1"/>
        <v>51</v>
      </c>
      <c r="B53" t="s">
        <v>102</v>
      </c>
      <c r="C53" t="s">
        <v>103</v>
      </c>
      <c r="D53">
        <f t="shared" si="5"/>
        <v>44</v>
      </c>
      <c r="E53">
        <v>2</v>
      </c>
      <c r="F53" s="10" t="str">
        <f t="shared" si="0"/>
        <v>INSERT INTO `monitoring_alat_berat`.`accounts` (`account_number`, `account_description`, `parent_id`, `level`) VALUES ('2107', 'Hutang PPh 21', 44, 2);</v>
      </c>
    </row>
    <row r="54" spans="1:6">
      <c r="A54">
        <f t="shared" si="1"/>
        <v>52</v>
      </c>
      <c r="B54" t="s">
        <v>104</v>
      </c>
      <c r="C54" t="s">
        <v>105</v>
      </c>
      <c r="D54">
        <f t="shared" si="5"/>
        <v>44</v>
      </c>
      <c r="E54">
        <v>2</v>
      </c>
      <c r="F54" s="10" t="str">
        <f t="shared" si="0"/>
        <v>INSERT INTO `monitoring_alat_berat`.`accounts` (`account_number`, `account_description`, `parent_id`, `level`) VALUES ('2108', 'Hutang PPh 23', 44, 2);</v>
      </c>
    </row>
    <row r="55" spans="1:6">
      <c r="A55">
        <f t="shared" si="1"/>
        <v>53</v>
      </c>
      <c r="B55" t="s">
        <v>106</v>
      </c>
      <c r="C55" t="s">
        <v>107</v>
      </c>
      <c r="D55">
        <f t="shared" si="5"/>
        <v>44</v>
      </c>
      <c r="E55">
        <v>2</v>
      </c>
      <c r="F55" s="10" t="str">
        <f t="shared" si="0"/>
        <v>INSERT INTO `monitoring_alat_berat`.`accounts` (`account_number`, `account_description`, `parent_id`, `level`) VALUES ('2109', 'Hutang PPh 4(2)', 44, 2);</v>
      </c>
    </row>
    <row r="56" spans="1:6">
      <c r="A56">
        <f t="shared" si="1"/>
        <v>54</v>
      </c>
      <c r="B56" t="s">
        <v>108</v>
      </c>
      <c r="C56" t="s">
        <v>109</v>
      </c>
      <c r="D56">
        <f t="shared" si="5"/>
        <v>44</v>
      </c>
      <c r="E56">
        <v>2</v>
      </c>
      <c r="F56" s="10" t="str">
        <f t="shared" si="0"/>
        <v>INSERT INTO `monitoring_alat_berat`.`accounts` (`account_number`, `account_description`, `parent_id`, `level`) VALUES ('2110', 'Hutang Pajak Lainnya', 44, 2);</v>
      </c>
    </row>
    <row r="57" spans="1:6">
      <c r="A57">
        <f t="shared" si="1"/>
        <v>55</v>
      </c>
      <c r="B57" t="s">
        <v>110</v>
      </c>
      <c r="C57" t="s">
        <v>111</v>
      </c>
      <c r="D57">
        <f t="shared" si="5"/>
        <v>44</v>
      </c>
      <c r="E57">
        <v>2</v>
      </c>
      <c r="F57" s="10" t="str">
        <f t="shared" si="0"/>
        <v>INSERT INTO `monitoring_alat_berat`.`accounts` (`account_number`, `account_description`, `parent_id`, `level`) VALUES ('2111', 'Biaya Masih Harus Dibayar', 44, 2);</v>
      </c>
    </row>
    <row r="58" spans="1:6">
      <c r="A58">
        <f t="shared" si="1"/>
        <v>56</v>
      </c>
      <c r="B58" t="s">
        <v>279</v>
      </c>
      <c r="C58" t="s">
        <v>280</v>
      </c>
      <c r="D58">
        <f t="shared" si="5"/>
        <v>44</v>
      </c>
      <c r="E58">
        <v>2</v>
      </c>
      <c r="F58" s="10" t="str">
        <f t="shared" si="0"/>
        <v>INSERT INTO `monitoring_alat_berat`.`accounts` (`account_number`, `account_description`, `parent_id`, `level`) VALUES ('2112', 'Kewajiban Pajak Tangguhan', 44, 2);</v>
      </c>
    </row>
    <row r="59" spans="1:6">
      <c r="A59">
        <f t="shared" si="1"/>
        <v>57</v>
      </c>
      <c r="B59" s="6" t="s">
        <v>112</v>
      </c>
      <c r="C59" s="6" t="s">
        <v>113</v>
      </c>
      <c r="D59">
        <f>$A$45</f>
        <v>43</v>
      </c>
      <c r="E59">
        <v>1</v>
      </c>
      <c r="F59" s="10" t="str">
        <f t="shared" si="0"/>
        <v>INSERT INTO `monitoring_alat_berat`.`accounts` (`account_number`, `account_description`, `parent_id`, `level`) VALUES ('2200', 'Long-term Liabilities', 43, 1);</v>
      </c>
    </row>
    <row r="60" spans="1:6">
      <c r="A60">
        <f t="shared" si="1"/>
        <v>58</v>
      </c>
      <c r="B60" t="s">
        <v>114</v>
      </c>
      <c r="C60" t="s">
        <v>115</v>
      </c>
      <c r="D60">
        <f>A59</f>
        <v>57</v>
      </c>
      <c r="E60">
        <v>2</v>
      </c>
      <c r="F60" s="10" t="str">
        <f t="shared" si="0"/>
        <v>INSERT INTO `monitoring_alat_berat`.`accounts` (`account_number`, `account_description`, `parent_id`, `level`) VALUES ('2201', 'Hutang Leasing Alat Berat', 57, 2);</v>
      </c>
    </row>
    <row r="61" spans="1:6">
      <c r="A61">
        <f t="shared" si="1"/>
        <v>59</v>
      </c>
      <c r="B61" t="s">
        <v>116</v>
      </c>
      <c r="C61" t="s">
        <v>117</v>
      </c>
      <c r="D61">
        <f t="shared" ref="D61:D63" si="6">A60</f>
        <v>58</v>
      </c>
      <c r="E61">
        <v>2</v>
      </c>
      <c r="F61" s="10" t="str">
        <f t="shared" si="0"/>
        <v>INSERT INTO `monitoring_alat_berat`.`accounts` (`account_number`, `account_description`, `parent_id`, `level`) VALUES ('2202', 'Hutang Leasing Dump Truck', 58, 2);</v>
      </c>
    </row>
    <row r="62" spans="1:6">
      <c r="A62">
        <f t="shared" si="1"/>
        <v>60</v>
      </c>
      <c r="B62" t="s">
        <v>118</v>
      </c>
      <c r="C62" t="s">
        <v>119</v>
      </c>
      <c r="D62">
        <f t="shared" si="6"/>
        <v>59</v>
      </c>
      <c r="E62">
        <v>2</v>
      </c>
      <c r="F62" s="10" t="str">
        <f t="shared" si="0"/>
        <v>INSERT INTO `monitoring_alat_berat`.`accounts` (`account_number`, `account_description`, `parent_id`, `level`) VALUES ('2203', 'Hutang Bank', 59, 2);</v>
      </c>
    </row>
    <row r="63" spans="1:6">
      <c r="A63">
        <f t="shared" si="1"/>
        <v>61</v>
      </c>
      <c r="B63" t="s">
        <v>120</v>
      </c>
      <c r="C63" t="s">
        <v>121</v>
      </c>
      <c r="D63">
        <f t="shared" si="6"/>
        <v>60</v>
      </c>
      <c r="E63">
        <v>2</v>
      </c>
      <c r="F63" s="10" t="str">
        <f t="shared" si="0"/>
        <v>INSERT INTO `monitoring_alat_berat`.`accounts` (`account_number`, `account_description`, `parent_id`, `level`) VALUES ('2204', 'Hutang Jangka Panjang Lainnya', 60, 2);</v>
      </c>
    </row>
    <row r="64" spans="1:6">
      <c r="A64">
        <f t="shared" si="1"/>
        <v>62</v>
      </c>
      <c r="B64" s="7" t="s">
        <v>122</v>
      </c>
      <c r="C64" s="7" t="s">
        <v>123</v>
      </c>
      <c r="D64" s="8" t="s">
        <v>288</v>
      </c>
      <c r="E64">
        <v>1</v>
      </c>
      <c r="F64" s="10" t="str">
        <f t="shared" si="0"/>
        <v>INSERT INTO `monitoring_alat_berat`.`accounts` (`account_number`, `account_description`, `parent_id`, `level`) VALUES ('3000', 'EQUITY', NULL, 1);</v>
      </c>
    </row>
    <row r="65" spans="1:6">
      <c r="A65">
        <f t="shared" si="1"/>
        <v>63</v>
      </c>
      <c r="B65" t="s">
        <v>124</v>
      </c>
      <c r="C65" t="s">
        <v>125</v>
      </c>
      <c r="D65">
        <f>$A$64</f>
        <v>62</v>
      </c>
      <c r="E65">
        <v>2</v>
      </c>
      <c r="F65" s="10" t="str">
        <f t="shared" si="0"/>
        <v>INSERT INTO `monitoring_alat_berat`.`accounts` (`account_number`, `account_description`, `parent_id`, `level`) VALUES ('3101', 'Modal Disetor', 62, 2);</v>
      </c>
    </row>
    <row r="66" spans="1:6">
      <c r="A66">
        <f t="shared" si="1"/>
        <v>64</v>
      </c>
      <c r="B66" t="s">
        <v>126</v>
      </c>
      <c r="C66" t="s">
        <v>127</v>
      </c>
      <c r="D66">
        <f t="shared" ref="D66:D68" si="7">$A$64</f>
        <v>62</v>
      </c>
      <c r="E66">
        <v>2</v>
      </c>
      <c r="F66" s="10" t="str">
        <f t="shared" si="0"/>
        <v>INSERT INTO `monitoring_alat_berat`.`accounts` (`account_number`, `account_description`, `parent_id`, `level`) VALUES ('3102', 'Tambahan Modal', 62, 2);</v>
      </c>
    </row>
    <row r="67" spans="1:6">
      <c r="A67">
        <f t="shared" si="1"/>
        <v>65</v>
      </c>
      <c r="B67" t="s">
        <v>128</v>
      </c>
      <c r="C67" t="s">
        <v>129</v>
      </c>
      <c r="D67">
        <f t="shared" si="7"/>
        <v>62</v>
      </c>
      <c r="E67">
        <v>2</v>
      </c>
      <c r="F67" s="10" t="str">
        <f t="shared" si="0"/>
        <v>INSERT INTO `monitoring_alat_berat`.`accounts` (`account_number`, `account_description`, `parent_id`, `level`) VALUES ('3103', 'Saldo Laba Ditahan', 62, 2);</v>
      </c>
    </row>
    <row r="68" spans="1:6">
      <c r="A68">
        <f t="shared" si="1"/>
        <v>66</v>
      </c>
      <c r="B68" t="s">
        <v>130</v>
      </c>
      <c r="C68" t="s">
        <v>131</v>
      </c>
      <c r="D68">
        <f t="shared" si="7"/>
        <v>62</v>
      </c>
      <c r="E68">
        <v>2</v>
      </c>
      <c r="F68" s="10" t="str">
        <f t="shared" ref="F68:F131" si="8">"INSERT INTO `monitoring_alat_berat`.`accounts` (`account_number`, `account_description`, `parent_id`, `level`) VALUES ('"&amp;B68&amp;"', '"&amp;C68&amp;"', "&amp;D68&amp;", "&amp;E68&amp;");"</f>
        <v>INSERT INTO `monitoring_alat_berat`.`accounts` (`account_number`, `account_description`, `parent_id`, `level`) VALUES ('3104', 'Laba Tahun Berjalan', 62, 2);</v>
      </c>
    </row>
    <row r="69" spans="1:6">
      <c r="A69" s="7">
        <f t="shared" ref="A69:A132" si="9">A68+1</f>
        <v>67</v>
      </c>
      <c r="B69" s="7" t="s">
        <v>132</v>
      </c>
      <c r="C69" s="7" t="s">
        <v>133</v>
      </c>
      <c r="D69" s="8" t="s">
        <v>288</v>
      </c>
      <c r="E69">
        <v>1</v>
      </c>
      <c r="F69" s="10" t="str">
        <f t="shared" si="8"/>
        <v>INSERT INTO `monitoring_alat_berat`.`accounts` (`account_number`, `account_description`, `parent_id`, `level`) VALUES ('4000', 'REVENUE', NULL, 1);</v>
      </c>
    </row>
    <row r="70" spans="1:6">
      <c r="A70">
        <f t="shared" si="9"/>
        <v>68</v>
      </c>
      <c r="B70" t="s">
        <v>134</v>
      </c>
      <c r="C70" t="s">
        <v>135</v>
      </c>
      <c r="D70">
        <f>$A$69</f>
        <v>67</v>
      </c>
      <c r="E70">
        <v>2</v>
      </c>
      <c r="F70" s="10" t="str">
        <f t="shared" si="8"/>
        <v>INSERT INTO `monitoring_alat_berat`.`accounts` (`account_number`, `account_description`, `parent_id`, `level`) VALUES ('4101', 'Pendapatan Sewa Excavator', 67, 2);</v>
      </c>
    </row>
    <row r="71" spans="1:6">
      <c r="A71">
        <f t="shared" si="9"/>
        <v>69</v>
      </c>
      <c r="B71" t="s">
        <v>136</v>
      </c>
      <c r="C71" t="s">
        <v>137</v>
      </c>
      <c r="D71">
        <f t="shared" ref="D71:D83" si="10">$A$69</f>
        <v>67</v>
      </c>
      <c r="E71">
        <v>2</v>
      </c>
      <c r="F71" s="10" t="str">
        <f t="shared" si="8"/>
        <v>INSERT INTO `monitoring_alat_berat`.`accounts` (`account_number`, `account_description`, `parent_id`, `level`) VALUES ('4102', 'Pendapatan Sewa Bulldozer', 67, 2);</v>
      </c>
    </row>
    <row r="72" spans="1:6">
      <c r="A72">
        <f t="shared" si="9"/>
        <v>70</v>
      </c>
      <c r="B72" t="s">
        <v>138</v>
      </c>
      <c r="C72" t="s">
        <v>139</v>
      </c>
      <c r="D72">
        <f t="shared" si="10"/>
        <v>67</v>
      </c>
      <c r="E72">
        <v>2</v>
      </c>
      <c r="F72" s="10" t="str">
        <f t="shared" si="8"/>
        <v>INSERT INTO `monitoring_alat_berat`.`accounts` (`account_number`, `account_description`, `parent_id`, `level`) VALUES ('4103', 'Pendapatan Sewa Dump Truck', 67, 2);</v>
      </c>
    </row>
    <row r="73" spans="1:6">
      <c r="A73">
        <f t="shared" si="9"/>
        <v>71</v>
      </c>
      <c r="B73" t="s">
        <v>140</v>
      </c>
      <c r="C73" t="s">
        <v>141</v>
      </c>
      <c r="D73">
        <f t="shared" si="10"/>
        <v>67</v>
      </c>
      <c r="E73">
        <v>2</v>
      </c>
      <c r="F73" s="10" t="str">
        <f t="shared" si="8"/>
        <v>INSERT INTO `monitoring_alat_berat`.`accounts` (`account_number`, `account_description`, `parent_id`, `level`) VALUES ('4104', 'Pendapatan Sewa Wheel Loader', 67, 2);</v>
      </c>
    </row>
    <row r="74" spans="1:6">
      <c r="A74">
        <f t="shared" si="9"/>
        <v>72</v>
      </c>
      <c r="B74" t="s">
        <v>142</v>
      </c>
      <c r="C74" t="s">
        <v>143</v>
      </c>
      <c r="D74">
        <f t="shared" si="10"/>
        <v>67</v>
      </c>
      <c r="E74">
        <v>2</v>
      </c>
      <c r="F74" s="10" t="str">
        <f t="shared" si="8"/>
        <v>INSERT INTO `monitoring_alat_berat`.`accounts` (`account_number`, `account_description`, `parent_id`, `level`) VALUES ('4105', 'Pendapatan Sewa Motor Grader', 67, 2);</v>
      </c>
    </row>
    <row r="75" spans="1:6">
      <c r="A75">
        <f t="shared" si="9"/>
        <v>73</v>
      </c>
      <c r="B75" t="s">
        <v>144</v>
      </c>
      <c r="C75" t="s">
        <v>145</v>
      </c>
      <c r="D75">
        <f t="shared" si="10"/>
        <v>67</v>
      </c>
      <c r="E75">
        <v>2</v>
      </c>
      <c r="F75" s="10" t="str">
        <f t="shared" si="8"/>
        <v>INSERT INTO `monitoring_alat_berat`.`accounts` (`account_number`, `account_description`, `parent_id`, `level`) VALUES ('4106', 'Pendapatan Mobilisasi', 67, 2);</v>
      </c>
    </row>
    <row r="76" spans="1:6">
      <c r="A76">
        <f t="shared" si="9"/>
        <v>74</v>
      </c>
      <c r="B76" t="s">
        <v>146</v>
      </c>
      <c r="C76" t="s">
        <v>147</v>
      </c>
      <c r="D76">
        <f t="shared" si="10"/>
        <v>67</v>
      </c>
      <c r="E76">
        <v>2</v>
      </c>
      <c r="F76" s="10" t="str">
        <f t="shared" si="8"/>
        <v>INSERT INTO `monitoring_alat_berat`.`accounts` (`account_number`, `account_description`, `parent_id`, `level`) VALUES ('4107', 'Pendapatan Demobilisasi', 67, 2);</v>
      </c>
    </row>
    <row r="77" spans="1:6">
      <c r="A77">
        <f t="shared" si="9"/>
        <v>75</v>
      </c>
      <c r="B77" t="s">
        <v>148</v>
      </c>
      <c r="C77" t="s">
        <v>149</v>
      </c>
      <c r="D77">
        <f t="shared" si="10"/>
        <v>67</v>
      </c>
      <c r="E77">
        <v>2</v>
      </c>
      <c r="F77" s="10" t="str">
        <f t="shared" si="8"/>
        <v>INSERT INTO `monitoring_alat_berat`.`accounts` (`account_number`, `account_description`, `parent_id`, `level`) VALUES ('4108', 'Pendapatan Jasa Operator', 67, 2);</v>
      </c>
    </row>
    <row r="78" spans="1:6">
      <c r="A78">
        <f t="shared" si="9"/>
        <v>76</v>
      </c>
      <c r="B78" t="s">
        <v>150</v>
      </c>
      <c r="C78" t="s">
        <v>151</v>
      </c>
      <c r="D78">
        <f t="shared" si="10"/>
        <v>67</v>
      </c>
      <c r="E78">
        <v>2</v>
      </c>
      <c r="F78" s="10" t="str">
        <f t="shared" si="8"/>
        <v>INSERT INTO `monitoring_alat_berat`.`accounts` (`account_number`, `account_description`, `parent_id`, `level`) VALUES ('4201', 'Penjualan Tanah OB', 67, 2);</v>
      </c>
    </row>
    <row r="79" spans="1:6">
      <c r="A79">
        <f t="shared" si="9"/>
        <v>77</v>
      </c>
      <c r="B79" t="s">
        <v>152</v>
      </c>
      <c r="C79" t="s">
        <v>153</v>
      </c>
      <c r="D79">
        <f t="shared" si="10"/>
        <v>67</v>
      </c>
      <c r="E79">
        <v>2</v>
      </c>
      <c r="F79" s="10" t="str">
        <f t="shared" si="8"/>
        <v>INSERT INTO `monitoring_alat_berat`.`accounts` (`account_number`, `account_description`, `parent_id`, `level`) VALUES ('4202', 'Penjualan Kayu Tebangan', 67, 2);</v>
      </c>
    </row>
    <row r="80" spans="1:6">
      <c r="A80">
        <f t="shared" si="9"/>
        <v>78</v>
      </c>
      <c r="B80" t="s">
        <v>154</v>
      </c>
      <c r="C80" t="s">
        <v>155</v>
      </c>
      <c r="D80">
        <f t="shared" si="10"/>
        <v>67</v>
      </c>
      <c r="E80">
        <v>2</v>
      </c>
      <c r="F80" s="10" t="str">
        <f t="shared" si="8"/>
        <v>INSERT INTO `monitoring_alat_berat`.`accounts` (`account_number`, `account_description`, `parent_id`, `level`) VALUES ('4203', 'Penjualan Scrap', 67, 2);</v>
      </c>
    </row>
    <row r="81" spans="1:6">
      <c r="A81">
        <f t="shared" si="9"/>
        <v>79</v>
      </c>
      <c r="B81" t="s">
        <v>156</v>
      </c>
      <c r="C81" t="s">
        <v>157</v>
      </c>
      <c r="D81">
        <f t="shared" si="10"/>
        <v>67</v>
      </c>
      <c r="E81">
        <v>2</v>
      </c>
      <c r="F81" s="10" t="str">
        <f t="shared" si="8"/>
        <v>INSERT INTO `monitoring_alat_berat`.`accounts` (`account_number`, `account_description`, `parent_id`, `level`) VALUES ('4204', 'Penjualan Sparepart Bekas', 67, 2);</v>
      </c>
    </row>
    <row r="82" spans="1:6">
      <c r="A82">
        <f t="shared" si="9"/>
        <v>80</v>
      </c>
      <c r="B82" t="s">
        <v>158</v>
      </c>
      <c r="C82" t="s">
        <v>159</v>
      </c>
      <c r="D82">
        <f t="shared" si="10"/>
        <v>67</v>
      </c>
      <c r="E82">
        <v>2</v>
      </c>
      <c r="F82" s="10" t="str">
        <f t="shared" si="8"/>
        <v>INSERT INTO `monitoring_alat_berat`.`accounts` (`account_number`, `account_description`, `parent_id`, `level`) VALUES ('4205', 'Penjualan Aset', 67, 2);</v>
      </c>
    </row>
    <row r="83" spans="1:6">
      <c r="A83">
        <f t="shared" si="9"/>
        <v>81</v>
      </c>
      <c r="B83" t="s">
        <v>160</v>
      </c>
      <c r="C83" t="s">
        <v>161</v>
      </c>
      <c r="D83">
        <f t="shared" si="10"/>
        <v>67</v>
      </c>
      <c r="E83">
        <v>2</v>
      </c>
      <c r="F83" s="10" t="str">
        <f t="shared" si="8"/>
        <v>INSERT INTO `monitoring_alat_berat`.`accounts` (`account_number`, `account_description`, `parent_id`, `level`) VALUES ('4206', 'Pendapatan Lain-lain', 67, 2);</v>
      </c>
    </row>
    <row r="84" spans="1:6">
      <c r="A84" s="7">
        <f t="shared" si="9"/>
        <v>82</v>
      </c>
      <c r="B84" s="7" t="s">
        <v>162</v>
      </c>
      <c r="C84" s="7" t="s">
        <v>163</v>
      </c>
      <c r="D84" s="8" t="s">
        <v>288</v>
      </c>
      <c r="E84">
        <v>1</v>
      </c>
      <c r="F84" s="10" t="str">
        <f t="shared" si="8"/>
        <v>INSERT INTO `monitoring_alat_berat`.`accounts` (`account_number`, `account_description`, `parent_id`, `level`) VALUES ('5000', 'DIRECT COST', NULL, 1);</v>
      </c>
    </row>
    <row r="85" spans="1:6">
      <c r="A85">
        <f t="shared" si="9"/>
        <v>83</v>
      </c>
      <c r="B85" t="s">
        <v>164</v>
      </c>
      <c r="C85" t="s">
        <v>165</v>
      </c>
      <c r="D85">
        <f>$A$84</f>
        <v>82</v>
      </c>
      <c r="E85">
        <v>2</v>
      </c>
      <c r="F85" s="10" t="str">
        <f t="shared" si="8"/>
        <v>INSERT INTO `monitoring_alat_berat`.`accounts` (`account_number`, `account_description`, `parent_id`, `level`) VALUES ('5101', 'Solar Excavator', 82, 2);</v>
      </c>
    </row>
    <row r="86" spans="1:6">
      <c r="A86">
        <f t="shared" si="9"/>
        <v>84</v>
      </c>
      <c r="B86" t="s">
        <v>166</v>
      </c>
      <c r="C86" t="s">
        <v>167</v>
      </c>
      <c r="D86">
        <f t="shared" ref="D86:D104" si="11">$A$84</f>
        <v>82</v>
      </c>
      <c r="E86">
        <v>2</v>
      </c>
      <c r="F86" s="10" t="str">
        <f t="shared" si="8"/>
        <v>INSERT INTO `monitoring_alat_berat`.`accounts` (`account_number`, `account_description`, `parent_id`, `level`) VALUES ('5102', 'Solar Bulldozer', 82, 2);</v>
      </c>
    </row>
    <row r="87" spans="1:6">
      <c r="A87">
        <f t="shared" si="9"/>
        <v>85</v>
      </c>
      <c r="B87" t="s">
        <v>168</v>
      </c>
      <c r="C87" t="s">
        <v>169</v>
      </c>
      <c r="D87">
        <f t="shared" si="11"/>
        <v>82</v>
      </c>
      <c r="E87">
        <v>2</v>
      </c>
      <c r="F87" s="10" t="str">
        <f t="shared" si="8"/>
        <v>INSERT INTO `monitoring_alat_berat`.`accounts` (`account_number`, `account_description`, `parent_id`, `level`) VALUES ('5103', 'Solar Dump Truck', 82, 2);</v>
      </c>
    </row>
    <row r="88" spans="1:6">
      <c r="A88">
        <f t="shared" si="9"/>
        <v>86</v>
      </c>
      <c r="B88" t="s">
        <v>170</v>
      </c>
      <c r="C88" t="s">
        <v>171</v>
      </c>
      <c r="D88">
        <f t="shared" si="11"/>
        <v>82</v>
      </c>
      <c r="E88">
        <v>2</v>
      </c>
      <c r="F88" s="10" t="str">
        <f t="shared" si="8"/>
        <v>INSERT INTO `monitoring_alat_berat`.`accounts` (`account_number`, `account_description`, `parent_id`, `level`) VALUES ('5104', 'Oli &amp; Grease', 82, 2);</v>
      </c>
    </row>
    <row r="89" spans="1:6">
      <c r="A89">
        <f t="shared" si="9"/>
        <v>87</v>
      </c>
      <c r="B89" t="s">
        <v>172</v>
      </c>
      <c r="C89" t="s">
        <v>173</v>
      </c>
      <c r="D89">
        <f t="shared" si="11"/>
        <v>82</v>
      </c>
      <c r="E89">
        <v>2</v>
      </c>
      <c r="F89" s="10" t="str">
        <f t="shared" si="8"/>
        <v>INSERT INTO `monitoring_alat_berat`.`accounts` (`account_number`, `account_description`, `parent_id`, `level`) VALUES ('5105', 'Sparepart', 82, 2);</v>
      </c>
    </row>
    <row r="90" spans="1:6">
      <c r="A90">
        <f t="shared" si="9"/>
        <v>88</v>
      </c>
      <c r="B90" t="s">
        <v>174</v>
      </c>
      <c r="C90" t="s">
        <v>175</v>
      </c>
      <c r="D90">
        <f t="shared" si="11"/>
        <v>82</v>
      </c>
      <c r="E90">
        <v>2</v>
      </c>
      <c r="F90" s="10" t="str">
        <f t="shared" si="8"/>
        <v>INSERT INTO `monitoring_alat_berat`.`accounts` (`account_number`, `account_description`, `parent_id`, `level`) VALUES ('5106', 'Ban', 82, 2);</v>
      </c>
    </row>
    <row r="91" spans="1:6">
      <c r="A91">
        <f t="shared" si="9"/>
        <v>89</v>
      </c>
      <c r="B91" t="s">
        <v>176</v>
      </c>
      <c r="C91" t="s">
        <v>177</v>
      </c>
      <c r="D91">
        <f t="shared" si="11"/>
        <v>82</v>
      </c>
      <c r="E91">
        <v>2</v>
      </c>
      <c r="F91" s="10" t="str">
        <f t="shared" si="8"/>
        <v>INSERT INTO `monitoring_alat_berat`.`accounts` (`account_number`, `account_description`, `parent_id`, `level`) VALUES ('5107', 'Maintenance', 82, 2);</v>
      </c>
    </row>
    <row r="92" spans="1:6">
      <c r="A92">
        <f t="shared" si="9"/>
        <v>90</v>
      </c>
      <c r="B92" t="s">
        <v>178</v>
      </c>
      <c r="C92" t="s">
        <v>179</v>
      </c>
      <c r="D92">
        <f t="shared" si="11"/>
        <v>82</v>
      </c>
      <c r="E92">
        <v>2</v>
      </c>
      <c r="F92" s="10" t="str">
        <f t="shared" si="8"/>
        <v>INSERT INTO `monitoring_alat_berat`.`accounts` (`account_number`, `account_description`, `parent_id`, `level`) VALUES ('5108', 'Sewa Alat Pendukung', 82, 2);</v>
      </c>
    </row>
    <row r="93" spans="1:6">
      <c r="A93">
        <f t="shared" si="9"/>
        <v>91</v>
      </c>
      <c r="B93" t="s">
        <v>180</v>
      </c>
      <c r="C93" t="s">
        <v>181</v>
      </c>
      <c r="D93">
        <f t="shared" si="11"/>
        <v>82</v>
      </c>
      <c r="E93">
        <v>2</v>
      </c>
      <c r="F93" s="10" t="str">
        <f t="shared" si="8"/>
        <v>INSERT INTO `monitoring_alat_berat`.`accounts` (`account_number`, `account_description`, `parent_id`, `level`) VALUES ('5109', 'Biaya Leasing Alat', 82, 2);</v>
      </c>
    </row>
    <row r="94" spans="1:6">
      <c r="A94">
        <f t="shared" si="9"/>
        <v>92</v>
      </c>
      <c r="B94" t="s">
        <v>182</v>
      </c>
      <c r="C94" t="s">
        <v>183</v>
      </c>
      <c r="D94">
        <f t="shared" si="11"/>
        <v>82</v>
      </c>
      <c r="E94">
        <v>2</v>
      </c>
      <c r="F94" s="10" t="str">
        <f t="shared" si="8"/>
        <v>INSERT INTO `monitoring_alat_berat`.`accounts` (`account_number`, `account_description`, `parent_id`, `level`) VALUES ('5110', 'Penyusutan Excavator', 82, 2);</v>
      </c>
    </row>
    <row r="95" spans="1:6">
      <c r="A95">
        <f t="shared" si="9"/>
        <v>93</v>
      </c>
      <c r="B95" t="s">
        <v>184</v>
      </c>
      <c r="C95" t="s">
        <v>185</v>
      </c>
      <c r="D95">
        <f t="shared" si="11"/>
        <v>82</v>
      </c>
      <c r="E95">
        <v>2</v>
      </c>
      <c r="F95" s="10" t="str">
        <f t="shared" si="8"/>
        <v>INSERT INTO `monitoring_alat_berat`.`accounts` (`account_number`, `account_description`, `parent_id`, `level`) VALUES ('5111', 'Penyusutan Bulldozer', 82, 2);</v>
      </c>
    </row>
    <row r="96" spans="1:6">
      <c r="A96">
        <f t="shared" si="9"/>
        <v>94</v>
      </c>
      <c r="B96" t="s">
        <v>186</v>
      </c>
      <c r="C96" t="s">
        <v>187</v>
      </c>
      <c r="D96">
        <f t="shared" si="11"/>
        <v>82</v>
      </c>
      <c r="E96">
        <v>2</v>
      </c>
      <c r="F96" s="10" t="str">
        <f t="shared" si="8"/>
        <v>INSERT INTO `monitoring_alat_berat`.`accounts` (`account_number`, `account_description`, `parent_id`, `level`) VALUES ('5112', 'Penyusutan Dump Truck', 82, 2);</v>
      </c>
    </row>
    <row r="97" spans="1:6">
      <c r="A97">
        <f t="shared" si="9"/>
        <v>95</v>
      </c>
      <c r="B97" t="s">
        <v>188</v>
      </c>
      <c r="C97" t="s">
        <v>189</v>
      </c>
      <c r="D97">
        <f t="shared" si="11"/>
        <v>82</v>
      </c>
      <c r="E97">
        <v>2</v>
      </c>
      <c r="F97" s="10" t="str">
        <f t="shared" si="8"/>
        <v>INSERT INTO `monitoring_alat_berat`.`accounts` (`account_number`, `account_description`, `parent_id`, `level`) VALUES ('5113', 'Penyusutan Wheel Loader', 82, 2);</v>
      </c>
    </row>
    <row r="98" spans="1:6">
      <c r="A98">
        <f t="shared" si="9"/>
        <v>96</v>
      </c>
      <c r="B98" t="s">
        <v>190</v>
      </c>
      <c r="C98" t="s">
        <v>191</v>
      </c>
      <c r="D98">
        <f t="shared" si="11"/>
        <v>82</v>
      </c>
      <c r="E98">
        <v>2</v>
      </c>
      <c r="F98" s="10" t="str">
        <f t="shared" si="8"/>
        <v>INSERT INTO `monitoring_alat_berat`.`accounts` (`account_number`, `account_description`, `parent_id`, `level`) VALUES ('5114', 'Mobilisasi', 82, 2);</v>
      </c>
    </row>
    <row r="99" spans="1:6">
      <c r="A99">
        <f t="shared" si="9"/>
        <v>97</v>
      </c>
      <c r="B99" t="s">
        <v>192</v>
      </c>
      <c r="C99" t="s">
        <v>193</v>
      </c>
      <c r="D99">
        <f t="shared" si="11"/>
        <v>82</v>
      </c>
      <c r="E99">
        <v>2</v>
      </c>
      <c r="F99" s="10" t="str">
        <f t="shared" si="8"/>
        <v>INSERT INTO `monitoring_alat_berat`.`accounts` (`account_number`, `account_description`, `parent_id`, `level`) VALUES ('5115', 'Demobilisasi', 82, 2);</v>
      </c>
    </row>
    <row r="100" spans="1:6">
      <c r="A100">
        <f t="shared" si="9"/>
        <v>98</v>
      </c>
      <c r="B100" t="s">
        <v>194</v>
      </c>
      <c r="C100" t="s">
        <v>195</v>
      </c>
      <c r="D100">
        <f t="shared" si="11"/>
        <v>82</v>
      </c>
      <c r="E100">
        <v>2</v>
      </c>
      <c r="F100" s="10" t="str">
        <f t="shared" si="8"/>
        <v>INSERT INTO `monitoring_alat_berat`.`accounts` (`account_number`, `account_description`, `parent_id`, `level`) VALUES ('5116', 'Gaji Operator', 82, 2);</v>
      </c>
    </row>
    <row r="101" spans="1:6">
      <c r="A101">
        <f t="shared" si="9"/>
        <v>99</v>
      </c>
      <c r="B101" t="s">
        <v>196</v>
      </c>
      <c r="C101" t="s">
        <v>197</v>
      </c>
      <c r="D101">
        <f t="shared" si="11"/>
        <v>82</v>
      </c>
      <c r="E101">
        <v>2</v>
      </c>
      <c r="F101" s="10" t="str">
        <f t="shared" si="8"/>
        <v>INSERT INTO `monitoring_alat_berat`.`accounts` (`account_number`, `account_description`, `parent_id`, `level`) VALUES ('5117', 'Uang Makan Operator', 82, 2);</v>
      </c>
    </row>
    <row r="102" spans="1:6">
      <c r="A102">
        <f t="shared" si="9"/>
        <v>100</v>
      </c>
      <c r="B102" t="s">
        <v>198</v>
      </c>
      <c r="C102" t="s">
        <v>199</v>
      </c>
      <c r="D102">
        <f t="shared" si="11"/>
        <v>82</v>
      </c>
      <c r="E102">
        <v>2</v>
      </c>
      <c r="F102" s="10" t="str">
        <f t="shared" si="8"/>
        <v>INSERT INTO `monitoring_alat_berat`.`accounts` (`account_number`, `account_description`, `parent_id`, `level`) VALUES ('5118', 'Lembur Operator', 82, 2);</v>
      </c>
    </row>
    <row r="103" spans="1:6">
      <c r="A103">
        <f t="shared" si="9"/>
        <v>101</v>
      </c>
      <c r="B103" t="s">
        <v>200</v>
      </c>
      <c r="C103" t="s">
        <v>201</v>
      </c>
      <c r="D103">
        <f t="shared" si="11"/>
        <v>82</v>
      </c>
      <c r="E103">
        <v>2</v>
      </c>
      <c r="F103" s="10" t="str">
        <f t="shared" si="8"/>
        <v>INSERT INTO `monitoring_alat_berat`.`accounts` (`account_number`, `account_description`, `parent_id`, `level`) VALUES ('5119', 'Jasa Bengkel', 82, 2);</v>
      </c>
    </row>
    <row r="104" spans="1:6">
      <c r="A104">
        <f t="shared" si="9"/>
        <v>102</v>
      </c>
      <c r="B104" t="s">
        <v>202</v>
      </c>
      <c r="C104" t="s">
        <v>203</v>
      </c>
      <c r="D104">
        <f t="shared" si="11"/>
        <v>82</v>
      </c>
      <c r="E104">
        <v>2</v>
      </c>
      <c r="F104" s="10" t="str">
        <f t="shared" si="8"/>
        <v>INSERT INTO `monitoring_alat_berat`.`accounts` (`account_number`, `account_description`, `parent_id`, `level`) VALUES ('5120', 'Asuransi Alat', 82, 2);</v>
      </c>
    </row>
    <row r="105" spans="1:6">
      <c r="A105">
        <f t="shared" si="9"/>
        <v>103</v>
      </c>
      <c r="B105" t="s">
        <v>204</v>
      </c>
      <c r="C105" t="s">
        <v>205</v>
      </c>
      <c r="D105" s="8" t="s">
        <v>288</v>
      </c>
      <c r="E105">
        <v>1</v>
      </c>
      <c r="F105" s="10" t="str">
        <f t="shared" si="8"/>
        <v>INSERT INTO `monitoring_alat_berat`.`accounts` (`account_number`, `account_description`, `parent_id`, `level`) VALUES ('6000', 'OPERATING EXPENSE', NULL, 1);</v>
      </c>
    </row>
    <row r="106" spans="1:6">
      <c r="A106">
        <f t="shared" si="9"/>
        <v>104</v>
      </c>
      <c r="B106" t="s">
        <v>206</v>
      </c>
      <c r="C106" t="s">
        <v>207</v>
      </c>
      <c r="D106">
        <f>$A$105</f>
        <v>103</v>
      </c>
      <c r="E106">
        <v>2</v>
      </c>
      <c r="F106" s="10" t="str">
        <f t="shared" si="8"/>
        <v>INSERT INTO `monitoring_alat_berat`.`accounts` (`account_number`, `account_description`, `parent_id`, `level`) VALUES ('6101', 'Gaji Staff', 103, 2);</v>
      </c>
    </row>
    <row r="107" spans="1:6">
      <c r="A107">
        <f t="shared" si="9"/>
        <v>105</v>
      </c>
      <c r="B107" t="s">
        <v>208</v>
      </c>
      <c r="C107" t="s">
        <v>209</v>
      </c>
      <c r="D107">
        <f t="shared" ref="D107:D128" si="12">$A$105</f>
        <v>103</v>
      </c>
      <c r="E107">
        <v>2</v>
      </c>
      <c r="F107" s="10" t="str">
        <f t="shared" si="8"/>
        <v>INSERT INTO `monitoring_alat_berat`.`accounts` (`account_number`, `account_description`, `parent_id`, `level`) VALUES ('6102', 'Gaji Direksi', 103, 2);</v>
      </c>
    </row>
    <row r="108" spans="1:6">
      <c r="A108">
        <f t="shared" si="9"/>
        <v>106</v>
      </c>
      <c r="B108" t="s">
        <v>210</v>
      </c>
      <c r="C108" t="s">
        <v>211</v>
      </c>
      <c r="D108">
        <f t="shared" si="12"/>
        <v>103</v>
      </c>
      <c r="E108">
        <v>2</v>
      </c>
      <c r="F108" s="10" t="str">
        <f t="shared" si="8"/>
        <v>INSERT INTO `monitoring_alat_berat`.`accounts` (`account_number`, `account_description`, `parent_id`, `level`) VALUES ('6103', 'BPJS', 103, 2);</v>
      </c>
    </row>
    <row r="109" spans="1:6">
      <c r="A109">
        <f t="shared" si="9"/>
        <v>107</v>
      </c>
      <c r="B109" t="s">
        <v>212</v>
      </c>
      <c r="C109" t="s">
        <v>213</v>
      </c>
      <c r="D109">
        <f t="shared" si="12"/>
        <v>103</v>
      </c>
      <c r="E109">
        <v>2</v>
      </c>
      <c r="F109" s="10" t="str">
        <f t="shared" si="8"/>
        <v>INSERT INTO `monitoring_alat_berat`.`accounts` (`account_number`, `account_description`, `parent_id`, `level`) VALUES ('6104', 'ATK', 103, 2);</v>
      </c>
    </row>
    <row r="110" spans="1:6">
      <c r="A110">
        <f t="shared" si="9"/>
        <v>108</v>
      </c>
      <c r="B110" t="s">
        <v>214</v>
      </c>
      <c r="C110" t="s">
        <v>215</v>
      </c>
      <c r="D110">
        <f t="shared" si="12"/>
        <v>103</v>
      </c>
      <c r="E110">
        <v>2</v>
      </c>
      <c r="F110" s="10" t="str">
        <f t="shared" si="8"/>
        <v>INSERT INTO `monitoring_alat_berat`.`accounts` (`account_number`, `account_description`, `parent_id`, `level`) VALUES ('6105', 'Internet', 103, 2);</v>
      </c>
    </row>
    <row r="111" spans="1:6">
      <c r="A111">
        <f t="shared" si="9"/>
        <v>109</v>
      </c>
      <c r="B111" t="s">
        <v>216</v>
      </c>
      <c r="C111" t="s">
        <v>217</v>
      </c>
      <c r="D111">
        <f t="shared" si="12"/>
        <v>103</v>
      </c>
      <c r="E111">
        <v>2</v>
      </c>
      <c r="F111" s="10" t="str">
        <f t="shared" si="8"/>
        <v>INSERT INTO `monitoring_alat_berat`.`accounts` (`account_number`, `account_description`, `parent_id`, `level`) VALUES ('6106', 'Telepon', 103, 2);</v>
      </c>
    </row>
    <row r="112" spans="1:6">
      <c r="A112">
        <f t="shared" si="9"/>
        <v>110</v>
      </c>
      <c r="B112" t="s">
        <v>218</v>
      </c>
      <c r="C112" t="s">
        <v>219</v>
      </c>
      <c r="D112">
        <f t="shared" si="12"/>
        <v>103</v>
      </c>
      <c r="E112">
        <v>2</v>
      </c>
      <c r="F112" s="10" t="str">
        <f t="shared" si="8"/>
        <v>INSERT INTO `monitoring_alat_berat`.`accounts` (`account_number`, `account_description`, `parent_id`, `level`) VALUES ('6107', 'Listrik', 103, 2);</v>
      </c>
    </row>
    <row r="113" spans="1:6">
      <c r="A113">
        <f t="shared" si="9"/>
        <v>111</v>
      </c>
      <c r="B113" t="s">
        <v>220</v>
      </c>
      <c r="C113" t="s">
        <v>221</v>
      </c>
      <c r="D113">
        <f t="shared" si="12"/>
        <v>103</v>
      </c>
      <c r="E113">
        <v>2</v>
      </c>
      <c r="F113" s="10" t="str">
        <f t="shared" si="8"/>
        <v>INSERT INTO `monitoring_alat_berat`.`accounts` (`account_number`, `account_description`, `parent_id`, `level`) VALUES ('6108', 'Air', 103, 2);</v>
      </c>
    </row>
    <row r="114" spans="1:6">
      <c r="A114">
        <f t="shared" si="9"/>
        <v>112</v>
      </c>
      <c r="B114" t="s">
        <v>222</v>
      </c>
      <c r="C114" t="s">
        <v>223</v>
      </c>
      <c r="D114">
        <f t="shared" si="12"/>
        <v>103</v>
      </c>
      <c r="E114">
        <v>2</v>
      </c>
      <c r="F114" s="10" t="str">
        <f t="shared" si="8"/>
        <v>INSERT INTO `monitoring_alat_berat`.`accounts` (`account_number`, `account_description`, `parent_id`, `level`) VALUES ('6109', 'Sewa Kantor', 103, 2);</v>
      </c>
    </row>
    <row r="115" spans="1:6">
      <c r="A115">
        <f t="shared" si="9"/>
        <v>113</v>
      </c>
      <c r="B115" t="s">
        <v>224</v>
      </c>
      <c r="C115" t="s">
        <v>225</v>
      </c>
      <c r="D115">
        <f t="shared" si="12"/>
        <v>103</v>
      </c>
      <c r="E115">
        <v>2</v>
      </c>
      <c r="F115" s="10" t="str">
        <f t="shared" si="8"/>
        <v>INSERT INTO `monitoring_alat_berat`.`accounts` (`account_number`, `account_description`, `parent_id`, `level`) VALUES ('6110', 'Penyusutan Kendaraan Kantor', 103, 2);</v>
      </c>
    </row>
    <row r="116" spans="1:6">
      <c r="A116">
        <f t="shared" si="9"/>
        <v>114</v>
      </c>
      <c r="B116" t="s">
        <v>226</v>
      </c>
      <c r="C116" t="s">
        <v>227</v>
      </c>
      <c r="D116">
        <f t="shared" si="12"/>
        <v>103</v>
      </c>
      <c r="E116">
        <v>2</v>
      </c>
      <c r="F116" s="10" t="str">
        <f t="shared" si="8"/>
        <v>INSERT INTO `monitoring_alat_berat`.`accounts` (`account_number`, `account_description`, `parent_id`, `level`) VALUES ('6111', 'Penyusutan Inventaris', 103, 2);</v>
      </c>
    </row>
    <row r="117" spans="1:6">
      <c r="A117">
        <f t="shared" si="9"/>
        <v>115</v>
      </c>
      <c r="B117" t="s">
        <v>228</v>
      </c>
      <c r="C117" t="s">
        <v>229</v>
      </c>
      <c r="D117">
        <f t="shared" si="12"/>
        <v>103</v>
      </c>
      <c r="E117">
        <v>2</v>
      </c>
      <c r="F117" s="10" t="str">
        <f t="shared" si="8"/>
        <v>INSERT INTO `monitoring_alat_berat`.`accounts` (`account_number`, `account_description`, `parent_id`, `level`) VALUES ('6112', 'BBM Kendaraan Kantor', 103, 2);</v>
      </c>
    </row>
    <row r="118" spans="1:6">
      <c r="A118">
        <f t="shared" si="9"/>
        <v>116</v>
      </c>
      <c r="B118" t="s">
        <v>230</v>
      </c>
      <c r="C118" t="s">
        <v>231</v>
      </c>
      <c r="D118">
        <f t="shared" si="12"/>
        <v>103</v>
      </c>
      <c r="E118">
        <v>2</v>
      </c>
      <c r="F118" s="10" t="str">
        <f t="shared" si="8"/>
        <v>INSERT INTO `monitoring_alat_berat`.`accounts` (`account_number`, `account_description`, `parent_id`, `level`) VALUES ('6113', 'Perjalanan Dinas', 103, 2);</v>
      </c>
    </row>
    <row r="119" spans="1:6">
      <c r="A119">
        <f t="shared" si="9"/>
        <v>117</v>
      </c>
      <c r="B119" t="s">
        <v>232</v>
      </c>
      <c r="C119" t="s">
        <v>233</v>
      </c>
      <c r="D119">
        <f t="shared" si="12"/>
        <v>103</v>
      </c>
      <c r="E119">
        <v>2</v>
      </c>
      <c r="F119" s="10" t="str">
        <f t="shared" si="8"/>
        <v>INSERT INTO `monitoring_alat_berat`.`accounts` (`account_number`, `account_description`, `parent_id`, `level`) VALUES ('6114', 'Jamuan &amp; Entertainment', 103, 2);</v>
      </c>
    </row>
    <row r="120" spans="1:6">
      <c r="A120">
        <f t="shared" si="9"/>
        <v>118</v>
      </c>
      <c r="B120" t="s">
        <v>234</v>
      </c>
      <c r="C120" t="s">
        <v>235</v>
      </c>
      <c r="D120">
        <f t="shared" si="12"/>
        <v>103</v>
      </c>
      <c r="E120">
        <v>2</v>
      </c>
      <c r="F120" s="10" t="str">
        <f t="shared" si="8"/>
        <v>INSERT INTO `monitoring_alat_berat`.`accounts` (`account_number`, `account_description`, `parent_id`, `level`) VALUES ('6115', 'Marketing', 103, 2);</v>
      </c>
    </row>
    <row r="121" spans="1:6">
      <c r="A121">
        <f t="shared" si="9"/>
        <v>119</v>
      </c>
      <c r="B121" t="s">
        <v>236</v>
      </c>
      <c r="C121" t="s">
        <v>237</v>
      </c>
      <c r="D121">
        <f t="shared" si="12"/>
        <v>103</v>
      </c>
      <c r="E121">
        <v>2</v>
      </c>
      <c r="F121" s="10" t="str">
        <f t="shared" si="8"/>
        <v>INSERT INTO `monitoring_alat_berat`.`accounts` (`account_number`, `account_description`, `parent_id`, `level`) VALUES ('6116', 'Legal', 103, 2);</v>
      </c>
    </row>
    <row r="122" spans="1:6">
      <c r="A122">
        <f t="shared" si="9"/>
        <v>120</v>
      </c>
      <c r="B122" t="s">
        <v>238</v>
      </c>
      <c r="C122" t="s">
        <v>239</v>
      </c>
      <c r="D122">
        <f t="shared" si="12"/>
        <v>103</v>
      </c>
      <c r="E122">
        <v>2</v>
      </c>
      <c r="F122" s="10" t="str">
        <f t="shared" si="8"/>
        <v>INSERT INTO `monitoring_alat_berat`.`accounts` (`account_number`, `account_description`, `parent_id`, `level`) VALUES ('6117', 'Audit', 103, 2);</v>
      </c>
    </row>
    <row r="123" spans="1:6">
      <c r="A123">
        <f t="shared" si="9"/>
        <v>121</v>
      </c>
      <c r="B123" t="s">
        <v>240</v>
      </c>
      <c r="C123" t="s">
        <v>241</v>
      </c>
      <c r="D123">
        <f t="shared" si="12"/>
        <v>103</v>
      </c>
      <c r="E123">
        <v>2</v>
      </c>
      <c r="F123" s="10" t="str">
        <f t="shared" si="8"/>
        <v>INSERT INTO `monitoring_alat_berat`.`accounts` (`account_number`, `account_description`, `parent_id`, `level`) VALUES ('6118', 'Konsultan Pajak', 103, 2);</v>
      </c>
    </row>
    <row r="124" spans="1:6">
      <c r="A124">
        <f t="shared" si="9"/>
        <v>122</v>
      </c>
      <c r="B124" t="s">
        <v>242</v>
      </c>
      <c r="C124" t="s">
        <v>243</v>
      </c>
      <c r="D124">
        <f t="shared" si="12"/>
        <v>103</v>
      </c>
      <c r="E124">
        <v>2</v>
      </c>
      <c r="F124" s="10" t="str">
        <f t="shared" si="8"/>
        <v>INSERT INTO `monitoring_alat_berat`.`accounts` (`account_number`, `account_description`, `parent_id`, `level`) VALUES ('6119', 'Perizinan', 103, 2);</v>
      </c>
    </row>
    <row r="125" spans="1:6">
      <c r="A125">
        <f t="shared" si="9"/>
        <v>123</v>
      </c>
      <c r="B125" t="s">
        <v>244</v>
      </c>
      <c r="C125" t="s">
        <v>245</v>
      </c>
      <c r="D125">
        <f t="shared" si="12"/>
        <v>103</v>
      </c>
      <c r="E125">
        <v>2</v>
      </c>
      <c r="F125" s="10" t="str">
        <f t="shared" si="8"/>
        <v>INSERT INTO `monitoring_alat_berat`.`accounts` (`account_number`, `account_description`, `parent_id`, `level`) VALUES ('6120', 'Training', 103, 2);</v>
      </c>
    </row>
    <row r="126" spans="1:6">
      <c r="A126">
        <f t="shared" si="9"/>
        <v>124</v>
      </c>
      <c r="B126" t="s">
        <v>246</v>
      </c>
      <c r="C126" t="s">
        <v>247</v>
      </c>
      <c r="D126">
        <f t="shared" si="12"/>
        <v>103</v>
      </c>
      <c r="E126">
        <v>2</v>
      </c>
      <c r="F126" s="10" t="str">
        <f t="shared" si="8"/>
        <v>INSERT INTO `monitoring_alat_berat`.`accounts` (`account_number`, `account_description`, `parent_id`, `level`) VALUES ('6121', 'Asuransi Kantor', 103, 2);</v>
      </c>
    </row>
    <row r="127" spans="1:6">
      <c r="A127">
        <f t="shared" si="9"/>
        <v>125</v>
      </c>
      <c r="B127" t="s">
        <v>248</v>
      </c>
      <c r="C127" t="s">
        <v>249</v>
      </c>
      <c r="D127">
        <f t="shared" si="12"/>
        <v>103</v>
      </c>
      <c r="E127">
        <v>2</v>
      </c>
      <c r="F127" s="10" t="str">
        <f t="shared" si="8"/>
        <v>INSERT INTO `monitoring_alat_berat`.`accounts` (`account_number`, `account_description`, `parent_id`, `level`) VALUES ('6122', 'Biaya Bank', 103, 2);</v>
      </c>
    </row>
    <row r="128" spans="1:6">
      <c r="A128">
        <f t="shared" si="9"/>
        <v>126</v>
      </c>
      <c r="B128" t="s">
        <v>250</v>
      </c>
      <c r="C128" t="s">
        <v>251</v>
      </c>
      <c r="D128">
        <f t="shared" si="12"/>
        <v>103</v>
      </c>
      <c r="E128">
        <v>2</v>
      </c>
      <c r="F128" s="10" t="str">
        <f t="shared" si="8"/>
        <v>INSERT INTO `monitoring_alat_berat`.`accounts` (`account_number`, `account_description`, `parent_id`, `level`) VALUES ('6123', 'Administrasi Bank', 103, 2);</v>
      </c>
    </row>
    <row r="129" spans="1:6">
      <c r="A129">
        <f t="shared" si="9"/>
        <v>127</v>
      </c>
      <c r="B129" s="7" t="s">
        <v>252</v>
      </c>
      <c r="C129" s="7" t="s">
        <v>253</v>
      </c>
      <c r="D129" s="8" t="s">
        <v>288</v>
      </c>
      <c r="E129">
        <v>1</v>
      </c>
      <c r="F129" s="10" t="str">
        <f t="shared" si="8"/>
        <v>INSERT INTO `monitoring_alat_berat`.`accounts` (`account_number`, `account_description`, `parent_id`, `level`) VALUES ('7000', 'OTHER INCOME', NULL, 1);</v>
      </c>
    </row>
    <row r="130" spans="1:6">
      <c r="A130">
        <f t="shared" si="9"/>
        <v>128</v>
      </c>
      <c r="B130" t="s">
        <v>254</v>
      </c>
      <c r="C130" t="s">
        <v>255</v>
      </c>
      <c r="D130">
        <f>$A$129</f>
        <v>127</v>
      </c>
      <c r="E130">
        <v>2</v>
      </c>
      <c r="F130" s="10" t="str">
        <f t="shared" si="8"/>
        <v>INSERT INTO `monitoring_alat_berat`.`accounts` (`account_number`, `account_description`, `parent_id`, `level`) VALUES ('7101', 'Pendapatan Bunga', 127, 2);</v>
      </c>
    </row>
    <row r="131" spans="1:6">
      <c r="A131">
        <f t="shared" si="9"/>
        <v>129</v>
      </c>
      <c r="B131" t="s">
        <v>256</v>
      </c>
      <c r="C131" t="s">
        <v>257</v>
      </c>
      <c r="D131">
        <f t="shared" ref="D131:D133" si="13">$A$129</f>
        <v>127</v>
      </c>
      <c r="E131">
        <v>2</v>
      </c>
      <c r="F131" s="10" t="str">
        <f t="shared" si="8"/>
        <v>INSERT INTO `monitoring_alat_berat`.`accounts` (`account_number`, `account_description`, `parent_id`, `level`) VALUES ('7102', 'Keuntungan Selisih Kurs', 127, 2);</v>
      </c>
    </row>
    <row r="132" spans="1:6">
      <c r="A132">
        <f t="shared" si="9"/>
        <v>130</v>
      </c>
      <c r="B132" t="s">
        <v>258</v>
      </c>
      <c r="C132" t="s">
        <v>259</v>
      </c>
      <c r="D132">
        <f t="shared" si="13"/>
        <v>127</v>
      </c>
      <c r="E132">
        <v>2</v>
      </c>
      <c r="F132" s="10" t="str">
        <f t="shared" ref="F132:F141" si="14">"INSERT INTO `monitoring_alat_berat`.`accounts` (`account_number`, `account_description`, `parent_id`, `level`) VALUES ('"&amp;B132&amp;"', '"&amp;C132&amp;"', "&amp;D132&amp;", "&amp;E132&amp;");"</f>
        <v>INSERT INTO `monitoring_alat_berat`.`accounts` (`account_number`, `account_description`, `parent_id`, `level`) VALUES ('7103', 'Keuntungan Penjualan Aset', 127, 2);</v>
      </c>
    </row>
    <row r="133" spans="1:6">
      <c r="A133">
        <f t="shared" ref="A133:A141" si="15">A132+1</f>
        <v>131</v>
      </c>
      <c r="B133" t="s">
        <v>260</v>
      </c>
      <c r="C133" t="s">
        <v>161</v>
      </c>
      <c r="D133">
        <f t="shared" si="13"/>
        <v>127</v>
      </c>
      <c r="E133">
        <v>2</v>
      </c>
      <c r="F133" s="10" t="str">
        <f t="shared" si="14"/>
        <v>INSERT INTO `monitoring_alat_berat`.`accounts` (`account_number`, `account_description`, `parent_id`, `level`) VALUES ('7104', 'Pendapatan Lain-lain', 127, 2);</v>
      </c>
    </row>
    <row r="134" spans="1:6">
      <c r="A134">
        <f t="shared" si="15"/>
        <v>132</v>
      </c>
      <c r="B134" s="7" t="s">
        <v>261</v>
      </c>
      <c r="C134" s="7" t="s">
        <v>262</v>
      </c>
      <c r="D134" s="8" t="s">
        <v>288</v>
      </c>
      <c r="E134">
        <v>1</v>
      </c>
      <c r="F134" s="10" t="str">
        <f t="shared" si="14"/>
        <v>INSERT INTO `monitoring_alat_berat`.`accounts` (`account_number`, `account_description`, `parent_id`, `level`) VALUES ('8000', 'OTHER EXPENSE', NULL, 1);</v>
      </c>
    </row>
    <row r="135" spans="1:6">
      <c r="A135">
        <f t="shared" si="15"/>
        <v>133</v>
      </c>
      <c r="B135" t="s">
        <v>263</v>
      </c>
      <c r="C135" t="s">
        <v>264</v>
      </c>
      <c r="D135">
        <f>$A$134</f>
        <v>132</v>
      </c>
      <c r="E135">
        <v>2</v>
      </c>
      <c r="F135" s="10" t="str">
        <f t="shared" si="14"/>
        <v>INSERT INTO `monitoring_alat_berat`.`accounts` (`account_number`, `account_description`, `parent_id`, `level`) VALUES ('8101', 'Beban Bunga Leasing', 132, 2);</v>
      </c>
    </row>
    <row r="136" spans="1:6">
      <c r="A136">
        <f t="shared" si="15"/>
        <v>134</v>
      </c>
      <c r="B136" t="s">
        <v>265</v>
      </c>
      <c r="C136" t="s">
        <v>266</v>
      </c>
      <c r="D136">
        <f>$A$134</f>
        <v>132</v>
      </c>
      <c r="E136">
        <v>2</v>
      </c>
      <c r="F136" s="10" t="str">
        <f t="shared" si="14"/>
        <v>INSERT INTO `monitoring_alat_berat`.`accounts` (`account_number`, `account_description`, `parent_id`, `level`) VALUES ('8102', 'Beban Bunga Bank', 132, 2);</v>
      </c>
    </row>
    <row r="137" spans="1:6">
      <c r="A137">
        <f t="shared" si="15"/>
        <v>135</v>
      </c>
      <c r="B137" t="s">
        <v>267</v>
      </c>
      <c r="C137" t="s">
        <v>268</v>
      </c>
      <c r="D137">
        <f>$A$134</f>
        <v>132</v>
      </c>
      <c r="E137">
        <v>2</v>
      </c>
      <c r="F137" s="10" t="str">
        <f t="shared" si="14"/>
        <v>INSERT INTO `monitoring_alat_berat`.`accounts` (`account_number`, `account_description`, `parent_id`, `level`) VALUES ('8103', 'Kerugian Selisih Kurs', 132, 2);</v>
      </c>
    </row>
    <row r="138" spans="1:6">
      <c r="A138">
        <f t="shared" si="15"/>
        <v>136</v>
      </c>
      <c r="B138" t="s">
        <v>269</v>
      </c>
      <c r="C138" t="s">
        <v>270</v>
      </c>
      <c r="D138">
        <f>$A$134</f>
        <v>132</v>
      </c>
      <c r="E138">
        <v>2</v>
      </c>
      <c r="F138" s="10" t="str">
        <f t="shared" si="14"/>
        <v>INSERT INTO `monitoring_alat_berat`.`accounts` (`account_number`, `account_description`, `parent_id`, `level`) VALUES ('8104', 'Kerugian Penjualan Aset', 132, 2);</v>
      </c>
    </row>
    <row r="139" spans="1:6">
      <c r="A139">
        <f t="shared" si="15"/>
        <v>137</v>
      </c>
      <c r="B139" t="s">
        <v>271</v>
      </c>
      <c r="C139" t="s">
        <v>272</v>
      </c>
      <c r="D139">
        <f>$A$134</f>
        <v>132</v>
      </c>
      <c r="E139">
        <v>2</v>
      </c>
      <c r="F139" s="10" t="str">
        <f t="shared" si="14"/>
        <v>INSERT INTO `monitoring_alat_berat`.`accounts` (`account_number`, `account_description`, `parent_id`, `level`) VALUES ('8105', 'Denda Pajak', 132, 2);</v>
      </c>
    </row>
    <row r="140" spans="1:6">
      <c r="A140">
        <f t="shared" si="15"/>
        <v>138</v>
      </c>
      <c r="B140" t="s">
        <v>273</v>
      </c>
      <c r="C140" t="s">
        <v>274</v>
      </c>
      <c r="D140">
        <f>$A$134</f>
        <v>132</v>
      </c>
      <c r="E140">
        <v>2</v>
      </c>
      <c r="F140" s="10" t="str">
        <f t="shared" si="14"/>
        <v>INSERT INTO `monitoring_alat_berat`.`accounts` (`account_number`, `account_description`, `parent_id`, `level`) VALUES ('8106', 'Sanksi Administrasi', 132, 2);</v>
      </c>
    </row>
    <row r="141" spans="1:6">
      <c r="A141">
        <f t="shared" si="15"/>
        <v>139</v>
      </c>
      <c r="B141" t="s">
        <v>275</v>
      </c>
      <c r="C141" t="s">
        <v>276</v>
      </c>
      <c r="D141">
        <f>$A$134</f>
        <v>132</v>
      </c>
      <c r="E141">
        <v>2</v>
      </c>
      <c r="F141" s="10" t="str">
        <f t="shared" si="14"/>
        <v>INSERT INTO `monitoring_alat_berat`.`accounts` (`account_number`, `account_description`, `parent_id`, `level`) VALUES ('8107', 'Beban Lain-lain', 132, 2);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 Ariesandy</cp:lastModifiedBy>
  <dcterms:created xsi:type="dcterms:W3CDTF">2026-07-08T07:44:49Z</dcterms:created>
  <dcterms:modified xsi:type="dcterms:W3CDTF">2026-08-02T14:09:48Z</dcterms:modified>
</cp:coreProperties>
</file>